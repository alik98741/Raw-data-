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hD work\PhD Experiment Data\article 2\Data\"/>
    </mc:Choice>
  </mc:AlternateContent>
  <bookViews>
    <workbookView xWindow="0" yWindow="0" windowWidth="28800" windowHeight="12000" firstSheet="6" activeTab="12"/>
  </bookViews>
  <sheets>
    <sheet name="Agronomy" sheetId="1" r:id="rId1"/>
    <sheet name="Chlorophyll" sheetId="2" r:id="rId2"/>
    <sheet name="Photosynthesis" sheetId="3" r:id="rId3"/>
    <sheet name="EL" sheetId="11" r:id="rId4"/>
    <sheet name="Yield" sheetId="4" r:id="rId5"/>
    <sheet name="Elements" sheetId="5" r:id="rId6"/>
    <sheet name="SOD" sheetId="6" r:id="rId7"/>
    <sheet name="POD" sheetId="7" r:id="rId8"/>
    <sheet name="CAT" sheetId="8" r:id="rId9"/>
    <sheet name="APX" sheetId="9" r:id="rId10"/>
    <sheet name="GR" sheetId="10" r:id="rId11"/>
    <sheet name="O2" sheetId="12" r:id="rId12"/>
    <sheet name="H2O2" sheetId="13" r:id="rId13"/>
    <sheet name="MDA" sheetId="14" r:id="rId14"/>
    <sheet name="PCA data for Arsenic" sheetId="15" r:id="rId15"/>
    <sheet name="PCA data for Zinc" sheetId="16" r:id="rId16"/>
    <sheet name="PCA data for Iron" sheetId="17" r:id="rId17"/>
    <sheet name="Mantel correlation Data" sheetId="18" r:id="rId1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<sst xmlns="http://schemas.openxmlformats.org/spreadsheetml/2006/main" count="310" uniqueCount="72">
  <si>
    <t>reps</t>
  </si>
  <si>
    <t xml:space="preserve">PH </t>
  </si>
  <si>
    <t xml:space="preserve">LL </t>
  </si>
  <si>
    <t xml:space="preserve">LW </t>
  </si>
  <si>
    <t>LA</t>
  </si>
  <si>
    <t>FW</t>
  </si>
  <si>
    <t xml:space="preserve">DW </t>
  </si>
  <si>
    <t>GD562CK</t>
  </si>
  <si>
    <t>GD562As</t>
  </si>
  <si>
    <t>GD911CK</t>
  </si>
  <si>
    <t>GD911As</t>
  </si>
  <si>
    <t>Treatments</t>
  </si>
  <si>
    <t>Pn</t>
  </si>
  <si>
    <t>Ci</t>
  </si>
  <si>
    <t>Gs</t>
  </si>
  <si>
    <t>Tr</t>
  </si>
  <si>
    <t>No. of grain per row</t>
  </si>
  <si>
    <t>100 grain weight</t>
  </si>
  <si>
    <t>No. of grain per ear</t>
  </si>
  <si>
    <t>Yield per plant</t>
  </si>
  <si>
    <t>AS-ROOT</t>
  </si>
  <si>
    <t>AS-STALK</t>
  </si>
  <si>
    <t>AS-LEAF</t>
  </si>
  <si>
    <t>AS-GRAIN</t>
  </si>
  <si>
    <t>ZN-ROOT</t>
  </si>
  <si>
    <t>ZN-STALK</t>
  </si>
  <si>
    <t>ZN-LEAF</t>
  </si>
  <si>
    <t>ZN-GRAIN</t>
  </si>
  <si>
    <t>FE-ROOT</t>
  </si>
  <si>
    <t>FE-STALK</t>
  </si>
  <si>
    <t>FE-LEAF</t>
  </si>
  <si>
    <t>FE-GRAIN</t>
  </si>
  <si>
    <t xml:space="preserve">samples tube </t>
  </si>
  <si>
    <t>control tube</t>
  </si>
  <si>
    <t>A1</t>
  </si>
  <si>
    <t>A2</t>
  </si>
  <si>
    <t>A1 (10sec)</t>
  </si>
  <si>
    <t>A2 (3 min)</t>
  </si>
  <si>
    <t>B1</t>
  </si>
  <si>
    <t>EL1</t>
  </si>
  <si>
    <t>EL2</t>
  </si>
  <si>
    <t>△A_determine</t>
  </si>
  <si>
    <t>Values</t>
  </si>
  <si>
    <t>nm532</t>
  </si>
  <si>
    <t>nm600</t>
  </si>
  <si>
    <t>GD562-CK</t>
  </si>
  <si>
    <t>GD562-AS</t>
  </si>
  <si>
    <t>GD911-CK</t>
  </si>
  <si>
    <t>GD911-AS</t>
  </si>
  <si>
    <t>SFW</t>
  </si>
  <si>
    <t>SDW</t>
  </si>
  <si>
    <t>Chl</t>
  </si>
  <si>
    <t>SOD</t>
  </si>
  <si>
    <t>POD</t>
  </si>
  <si>
    <t>CAT</t>
  </si>
  <si>
    <t>APX</t>
  </si>
  <si>
    <t>GR</t>
  </si>
  <si>
    <t>O2</t>
  </si>
  <si>
    <t>H2O2</t>
  </si>
  <si>
    <t>MDA</t>
  </si>
  <si>
    <t>EL</t>
  </si>
  <si>
    <t>These data are the corr file within the Rstudio script</t>
  </si>
  <si>
    <t>These data are the mantel file within the Rstudio script</t>
  </si>
  <si>
    <t>Yield</t>
  </si>
  <si>
    <t>Total AS accumulation</t>
  </si>
  <si>
    <t>450nm</t>
  </si>
  <si>
    <t>470nm</t>
  </si>
  <si>
    <t>240nm</t>
  </si>
  <si>
    <t>290nm</t>
  </si>
  <si>
    <t>340nm</t>
  </si>
  <si>
    <t>415nm</t>
  </si>
  <si>
    <t>532nm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</si>
</sst>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O23" sqref="O23"/>
    </sheetView>
  </sheetViews>
  <sheetFormatPr defaultRowHeight="15" x14ac:dyDescent="0.25"/>
  <cols>
    <col min="1" max="1" width="11.140625" bestFit="1" customWidth="1"/>
  </cols>
  <sheetData>
    <row r="1" spans="1:8" x14ac:dyDescent="0.2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>
        <v>1</v>
      </c>
      <c r="C2">
        <v>160</v>
      </c>
      <c r="D2">
        <v>60</v>
      </c>
      <c r="E2">
        <v>5.9</v>
      </c>
      <c r="F2" s="1">
        <f>D2*E2*0.75</f>
        <v>265.5</v>
      </c>
      <c r="G2">
        <v>150</v>
      </c>
      <c r="H2">
        <v>39.9</v>
      </c>
    </row>
    <row r="3" spans="1:8" x14ac:dyDescent="0.25">
      <c r="A3" t="s">
        <v>7</v>
      </c>
      <c r="B3">
        <v>2</v>
      </c>
      <c r="C3">
        <v>157</v>
      </c>
      <c r="D3">
        <v>57</v>
      </c>
      <c r="E3">
        <v>5.2</v>
      </c>
      <c r="F3" s="1">
        <f t="shared" ref="F3:F13" si="0">D3*E3*0.75</f>
        <v>222.3</v>
      </c>
      <c r="G3">
        <v>165</v>
      </c>
      <c r="H3">
        <v>42.5</v>
      </c>
    </row>
    <row r="4" spans="1:8" x14ac:dyDescent="0.25">
      <c r="A4" t="s">
        <v>7</v>
      </c>
      <c r="B4">
        <v>3</v>
      </c>
      <c r="C4">
        <v>155</v>
      </c>
      <c r="D4">
        <v>55</v>
      </c>
      <c r="E4">
        <v>5</v>
      </c>
      <c r="F4" s="1">
        <f t="shared" si="0"/>
        <v>206.25</v>
      </c>
      <c r="G4">
        <v>158</v>
      </c>
      <c r="H4">
        <v>40.799999999999997</v>
      </c>
    </row>
    <row r="5" spans="1:8" x14ac:dyDescent="0.25">
      <c r="A5" t="s">
        <v>8</v>
      </c>
      <c r="B5">
        <v>1</v>
      </c>
      <c r="C5">
        <v>151</v>
      </c>
      <c r="D5">
        <v>50</v>
      </c>
      <c r="E5">
        <v>4.8</v>
      </c>
      <c r="F5" s="1">
        <f t="shared" si="0"/>
        <v>180</v>
      </c>
      <c r="G5">
        <v>135</v>
      </c>
      <c r="H5">
        <v>30.2</v>
      </c>
    </row>
    <row r="6" spans="1:8" x14ac:dyDescent="0.25">
      <c r="A6" t="s">
        <v>8</v>
      </c>
      <c r="B6">
        <v>2</v>
      </c>
      <c r="C6">
        <v>150</v>
      </c>
      <c r="D6">
        <v>49</v>
      </c>
      <c r="E6">
        <v>4.7</v>
      </c>
      <c r="F6" s="1">
        <f t="shared" si="0"/>
        <v>172.72500000000002</v>
      </c>
      <c r="G6">
        <v>148</v>
      </c>
      <c r="H6">
        <v>36.6</v>
      </c>
    </row>
    <row r="7" spans="1:8" x14ac:dyDescent="0.25">
      <c r="A7" t="s">
        <v>8</v>
      </c>
      <c r="B7">
        <v>3</v>
      </c>
      <c r="C7">
        <v>153</v>
      </c>
      <c r="D7">
        <v>52</v>
      </c>
      <c r="E7">
        <v>5</v>
      </c>
      <c r="F7" s="1">
        <f t="shared" si="0"/>
        <v>195</v>
      </c>
      <c r="G7">
        <v>141</v>
      </c>
      <c r="H7">
        <v>33.200000000000003</v>
      </c>
    </row>
    <row r="8" spans="1:8" x14ac:dyDescent="0.25">
      <c r="A8" t="s">
        <v>9</v>
      </c>
      <c r="B8">
        <v>1</v>
      </c>
      <c r="C8">
        <v>155</v>
      </c>
      <c r="D8">
        <v>55</v>
      </c>
      <c r="E8">
        <v>5.4</v>
      </c>
      <c r="F8" s="1">
        <f t="shared" si="0"/>
        <v>222.75</v>
      </c>
      <c r="G8">
        <v>145</v>
      </c>
      <c r="H8">
        <v>36.200000000000003</v>
      </c>
    </row>
    <row r="9" spans="1:8" x14ac:dyDescent="0.25">
      <c r="A9" t="s">
        <v>9</v>
      </c>
      <c r="B9">
        <v>2</v>
      </c>
      <c r="C9">
        <v>157</v>
      </c>
      <c r="D9">
        <v>57</v>
      </c>
      <c r="E9">
        <v>5.4</v>
      </c>
      <c r="F9" s="1">
        <f t="shared" si="0"/>
        <v>230.85000000000002</v>
      </c>
      <c r="G9">
        <v>150</v>
      </c>
      <c r="H9">
        <v>38.6</v>
      </c>
    </row>
    <row r="10" spans="1:8" x14ac:dyDescent="0.25">
      <c r="A10" t="s">
        <v>9</v>
      </c>
      <c r="B10">
        <v>3</v>
      </c>
      <c r="C10">
        <v>159</v>
      </c>
      <c r="D10">
        <v>60</v>
      </c>
      <c r="E10">
        <v>5.2</v>
      </c>
      <c r="F10" s="1">
        <f t="shared" si="0"/>
        <v>234</v>
      </c>
      <c r="G10">
        <v>160</v>
      </c>
      <c r="H10">
        <v>40.9</v>
      </c>
    </row>
    <row r="11" spans="1:8" x14ac:dyDescent="0.25">
      <c r="A11" t="s">
        <v>10</v>
      </c>
      <c r="B11">
        <v>1</v>
      </c>
      <c r="C11">
        <v>135</v>
      </c>
      <c r="D11">
        <v>40</v>
      </c>
      <c r="E11">
        <v>4.0999999999999996</v>
      </c>
      <c r="F11" s="1">
        <f t="shared" si="0"/>
        <v>123</v>
      </c>
      <c r="G11">
        <v>110</v>
      </c>
      <c r="H11">
        <v>22.9</v>
      </c>
    </row>
    <row r="12" spans="1:8" x14ac:dyDescent="0.25">
      <c r="A12" t="s">
        <v>10</v>
      </c>
      <c r="B12">
        <v>2</v>
      </c>
      <c r="C12">
        <v>140</v>
      </c>
      <c r="D12">
        <v>45</v>
      </c>
      <c r="E12">
        <v>4.5</v>
      </c>
      <c r="F12" s="1">
        <f t="shared" si="0"/>
        <v>151.875</v>
      </c>
      <c r="G12">
        <v>115</v>
      </c>
      <c r="H12">
        <v>23.5</v>
      </c>
    </row>
    <row r="13" spans="1:8" x14ac:dyDescent="0.25">
      <c r="A13" t="s">
        <v>10</v>
      </c>
      <c r="B13">
        <v>3</v>
      </c>
      <c r="C13">
        <v>137</v>
      </c>
      <c r="D13">
        <v>43</v>
      </c>
      <c r="E13">
        <v>4.2</v>
      </c>
      <c r="F13" s="1">
        <f t="shared" si="0"/>
        <v>135.44999999999999</v>
      </c>
      <c r="G13">
        <v>122</v>
      </c>
      <c r="H13">
        <v>24.6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H5" sqref="H5"/>
    </sheetView>
  </sheetViews>
  <sheetFormatPr defaultRowHeight="15" x14ac:dyDescent="0.25"/>
  <cols>
    <col min="1" max="1" width="10.85546875" bestFit="1" customWidth="1"/>
  </cols>
  <sheetData>
    <row r="1" spans="1:4" x14ac:dyDescent="0.25">
      <c r="A1" t="s">
        <v>11</v>
      </c>
      <c r="B1">
        <v>665</v>
      </c>
      <c r="C1">
        <v>649</v>
      </c>
      <c r="D1">
        <v>470</v>
      </c>
    </row>
    <row r="2" spans="1:4" x14ac:dyDescent="0.25">
      <c r="A2" t="s">
        <v>7</v>
      </c>
      <c r="B2">
        <v>1.3409</v>
      </c>
      <c r="C2">
        <v>0.58299999999999996</v>
      </c>
      <c r="D2">
        <v>1.3543000000000001</v>
      </c>
    </row>
    <row r="3" spans="1:4" x14ac:dyDescent="0.25">
      <c r="A3" t="s">
        <v>7</v>
      </c>
      <c r="B3">
        <v>1.3885000000000001</v>
      </c>
      <c r="C3">
        <v>0.60170000000000001</v>
      </c>
      <c r="D3">
        <v>1.395</v>
      </c>
    </row>
    <row r="4" spans="1:4" x14ac:dyDescent="0.25">
      <c r="A4" t="s">
        <v>7</v>
      </c>
      <c r="B4">
        <v>1.9379</v>
      </c>
      <c r="C4">
        <v>0.86670000000000003</v>
      </c>
      <c r="D4">
        <v>1.9095</v>
      </c>
    </row>
    <row r="5" spans="1:4" x14ac:dyDescent="0.25">
      <c r="A5" t="s">
        <v>8</v>
      </c>
      <c r="B5">
        <v>1.9388000000000001</v>
      </c>
      <c r="C5">
        <v>0.86180000000000001</v>
      </c>
      <c r="D5">
        <v>1.8976999999999999</v>
      </c>
    </row>
    <row r="6" spans="1:4" x14ac:dyDescent="0.25">
      <c r="A6" t="s">
        <v>8</v>
      </c>
      <c r="B6">
        <v>1.6976</v>
      </c>
      <c r="C6">
        <v>0.73470000000000002</v>
      </c>
      <c r="D6">
        <v>1.6191</v>
      </c>
    </row>
    <row r="7" spans="1:4" x14ac:dyDescent="0.25">
      <c r="A7" t="s">
        <v>8</v>
      </c>
      <c r="B7">
        <v>1.9767999999999999</v>
      </c>
      <c r="C7">
        <v>0.87639999999999996</v>
      </c>
      <c r="D7">
        <v>2.0150999999999999</v>
      </c>
    </row>
    <row r="8" spans="1:4" x14ac:dyDescent="0.25">
      <c r="A8" t="s">
        <v>9</v>
      </c>
      <c r="B8">
        <v>2.0377999999999998</v>
      </c>
      <c r="C8">
        <v>0.94630000000000003</v>
      </c>
      <c r="D8">
        <v>1.6341000000000001</v>
      </c>
    </row>
    <row r="9" spans="1:4" x14ac:dyDescent="0.25">
      <c r="A9" t="s">
        <v>9</v>
      </c>
      <c r="B9">
        <v>2.3746</v>
      </c>
      <c r="C9">
        <v>1.2435</v>
      </c>
      <c r="D9">
        <v>1.1747000000000001</v>
      </c>
    </row>
    <row r="10" spans="1:4" x14ac:dyDescent="0.25">
      <c r="A10" t="s">
        <v>9</v>
      </c>
      <c r="B10">
        <v>1.9020999999999999</v>
      </c>
      <c r="C10">
        <v>0.85040000000000004</v>
      </c>
      <c r="D10">
        <v>1.4251</v>
      </c>
    </row>
    <row r="11" spans="1:4" x14ac:dyDescent="0.25">
      <c r="A11" t="s">
        <v>10</v>
      </c>
      <c r="B11">
        <v>1.6817</v>
      </c>
      <c r="C11">
        <v>0.73970000000000002</v>
      </c>
      <c r="D11">
        <v>1.994</v>
      </c>
    </row>
    <row r="12" spans="1:4" x14ac:dyDescent="0.25">
      <c r="A12" t="s">
        <v>10</v>
      </c>
      <c r="B12">
        <v>1.2634000000000001</v>
      </c>
      <c r="C12">
        <v>0.54930000000000001</v>
      </c>
      <c r="D12">
        <v>2.5331999999999999</v>
      </c>
    </row>
    <row r="13" spans="1:4" x14ac:dyDescent="0.25">
      <c r="A13" t="s">
        <v>10</v>
      </c>
      <c r="B13">
        <v>1.4231</v>
      </c>
      <c r="C13">
        <v>0.62739999999999996</v>
      </c>
      <c r="D13">
        <v>1.9516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L8" sqref="L8"/>
    </sheetView>
  </sheetViews>
  <sheetFormatPr defaultRowHeight="15" x14ac:dyDescent="0.25"/>
  <sheetData>
    <row r="1" spans="1:6" x14ac:dyDescent="0.25">
      <c r="A1" t="s">
        <v>11</v>
      </c>
      <c r="B1" t="s">
        <v>0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25">
      <c r="A2" t="s">
        <v>7</v>
      </c>
      <c r="B2">
        <v>1</v>
      </c>
      <c r="C2">
        <v>53.5556698414428</v>
      </c>
      <c r="D2">
        <v>126.181658312148</v>
      </c>
      <c r="E2">
        <v>0.36920064754971998</v>
      </c>
      <c r="F2">
        <v>6.0424276610640502E-3</v>
      </c>
    </row>
    <row r="3" spans="1:6" x14ac:dyDescent="0.25">
      <c r="A3" t="s">
        <v>7</v>
      </c>
      <c r="B3">
        <v>2</v>
      </c>
      <c r="C3">
        <v>49.820309786392002</v>
      </c>
      <c r="D3">
        <v>129.77617073088999</v>
      </c>
      <c r="E3">
        <v>0.33966189334164698</v>
      </c>
      <c r="F3">
        <v>5.9879033039714298E-3</v>
      </c>
    </row>
    <row r="4" spans="1:6" x14ac:dyDescent="0.25">
      <c r="A4" t="s">
        <v>7</v>
      </c>
      <c r="B4">
        <v>3</v>
      </c>
      <c r="C4">
        <v>46.573845083234829</v>
      </c>
      <c r="D4">
        <v>122.584916778324</v>
      </c>
      <c r="E4">
        <v>0.3061329207545111</v>
      </c>
      <c r="F4">
        <v>6.36548728839181E-3</v>
      </c>
    </row>
    <row r="5" spans="1:6" x14ac:dyDescent="0.25">
      <c r="A5" t="s">
        <v>8</v>
      </c>
      <c r="B5">
        <v>1</v>
      </c>
      <c r="C5">
        <v>46.458816309477498</v>
      </c>
      <c r="D5">
        <v>118.99457899056399</v>
      </c>
      <c r="E5">
        <v>0.32342310999260154</v>
      </c>
      <c r="F5">
        <v>5.7084791277359197E-3</v>
      </c>
    </row>
    <row r="6" spans="1:6" x14ac:dyDescent="0.25">
      <c r="A6" t="s">
        <v>8</v>
      </c>
      <c r="B6">
        <v>2</v>
      </c>
      <c r="C6">
        <v>43.370350524863198</v>
      </c>
      <c r="D6">
        <v>117.06778346546101</v>
      </c>
      <c r="E6">
        <v>0.32689969272834601</v>
      </c>
      <c r="F6">
        <v>5.6581808296397801E-3</v>
      </c>
    </row>
    <row r="7" spans="1:6" x14ac:dyDescent="0.25">
      <c r="A7" t="s">
        <v>8</v>
      </c>
      <c r="B7">
        <v>3</v>
      </c>
      <c r="C7">
        <v>45.685750235367003</v>
      </c>
      <c r="D7">
        <v>115.74414377993401</v>
      </c>
      <c r="E7">
        <v>0.30759694291010697</v>
      </c>
      <c r="F7">
        <v>5.4573950646338203E-3</v>
      </c>
    </row>
    <row r="8" spans="1:6" x14ac:dyDescent="0.25">
      <c r="A8" t="s">
        <v>9</v>
      </c>
      <c r="B8">
        <v>1</v>
      </c>
      <c r="C8">
        <v>44.644987109615698</v>
      </c>
      <c r="D8">
        <v>119.79626077156701</v>
      </c>
      <c r="E8">
        <v>0.28654317727045142</v>
      </c>
      <c r="F8">
        <v>5.4360976558278902E-3</v>
      </c>
    </row>
    <row r="9" spans="1:6" x14ac:dyDescent="0.25">
      <c r="A9" t="s">
        <v>9</v>
      </c>
      <c r="B9">
        <v>2</v>
      </c>
      <c r="C9">
        <v>41.943379679649098</v>
      </c>
      <c r="D9">
        <v>120.08548457010301</v>
      </c>
      <c r="E9">
        <v>0.2952768348955761</v>
      </c>
      <c r="F9">
        <v>5.2356442528441903E-3</v>
      </c>
    </row>
    <row r="10" spans="1:6" x14ac:dyDescent="0.25">
      <c r="A10" t="s">
        <v>9</v>
      </c>
      <c r="B10">
        <v>3</v>
      </c>
      <c r="C10">
        <v>40.870836820180202</v>
      </c>
      <c r="D10">
        <v>118.17833779537899</v>
      </c>
      <c r="E10">
        <v>0.23677016515907434</v>
      </c>
      <c r="F10">
        <v>4.95315179860264E-3</v>
      </c>
    </row>
    <row r="11" spans="1:6" x14ac:dyDescent="0.25">
      <c r="A11" t="s">
        <v>10</v>
      </c>
      <c r="B11">
        <v>1</v>
      </c>
      <c r="C11">
        <v>27.679458591321414</v>
      </c>
      <c r="D11">
        <v>95.227905695870007</v>
      </c>
      <c r="E11">
        <v>0.199178666100849</v>
      </c>
      <c r="F11">
        <v>3.9687713960062298E-3</v>
      </c>
    </row>
    <row r="12" spans="1:6" x14ac:dyDescent="0.25">
      <c r="A12" t="s">
        <v>10</v>
      </c>
      <c r="B12">
        <v>2</v>
      </c>
      <c r="C12">
        <v>30.920279728874998</v>
      </c>
      <c r="D12">
        <v>98.788106466100999</v>
      </c>
      <c r="E12">
        <v>0.17531428531200199</v>
      </c>
      <c r="F12">
        <v>3.7831022020073102E-3</v>
      </c>
    </row>
    <row r="13" spans="1:6" x14ac:dyDescent="0.25">
      <c r="A13" t="s">
        <v>10</v>
      </c>
      <c r="B13">
        <v>3</v>
      </c>
      <c r="C13">
        <v>33.1557541264308</v>
      </c>
      <c r="D13">
        <v>100.470840824069</v>
      </c>
      <c r="E13">
        <v>0.22457533222078099</v>
      </c>
      <c r="F13">
        <v>4.0255906329117698E-3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I6" sqref="I6"/>
    </sheetView>
  </sheetViews>
  <sheetFormatPr defaultRowHeight="15" x14ac:dyDescent="0.25"/>
  <sheetData>
    <row r="1" spans="1:3" x14ac:dyDescent="0.25">
      <c r="A1" t="s">
        <v>11</v>
      </c>
      <c r="B1" t="s">
        <v>39</v>
      </c>
      <c r="C1" t="s">
        <v>40</v>
      </c>
    </row>
    <row r="2" spans="1:3" x14ac:dyDescent="0.25">
      <c r="A2" t="s">
        <v>7</v>
      </c>
      <c r="B2">
        <v>18.7</v>
      </c>
      <c r="C2">
        <v>71.5</v>
      </c>
    </row>
    <row r="3" spans="1:3" x14ac:dyDescent="0.25">
      <c r="A3" t="s">
        <v>7</v>
      </c>
      <c r="B3">
        <v>20.7</v>
      </c>
      <c r="C3">
        <v>89.2</v>
      </c>
    </row>
    <row r="4" spans="1:3" x14ac:dyDescent="0.25">
      <c r="A4" t="s">
        <v>7</v>
      </c>
      <c r="B4">
        <v>23.5</v>
      </c>
      <c r="C4">
        <v>92.6</v>
      </c>
    </row>
    <row r="5" spans="1:3" x14ac:dyDescent="0.25">
      <c r="A5" t="s">
        <v>8</v>
      </c>
      <c r="B5">
        <v>21.7</v>
      </c>
      <c r="C5">
        <v>85.3</v>
      </c>
    </row>
    <row r="6" spans="1:3" x14ac:dyDescent="0.25">
      <c r="A6" t="s">
        <v>8</v>
      </c>
      <c r="B6">
        <v>20.100000000000001</v>
      </c>
      <c r="C6">
        <v>67.599999999999994</v>
      </c>
    </row>
    <row r="7" spans="1:3" x14ac:dyDescent="0.25">
      <c r="A7" t="s">
        <v>8</v>
      </c>
      <c r="B7">
        <v>21.9</v>
      </c>
      <c r="C7">
        <v>68.3</v>
      </c>
    </row>
    <row r="8" spans="1:3" x14ac:dyDescent="0.25">
      <c r="A8" t="s">
        <v>9</v>
      </c>
      <c r="B8">
        <v>18.100000000000001</v>
      </c>
      <c r="C8">
        <v>55</v>
      </c>
    </row>
    <row r="9" spans="1:3" x14ac:dyDescent="0.25">
      <c r="A9" t="s">
        <v>9</v>
      </c>
      <c r="B9">
        <v>20</v>
      </c>
      <c r="C9">
        <v>53</v>
      </c>
    </row>
    <row r="10" spans="1:3" x14ac:dyDescent="0.25">
      <c r="A10" t="s">
        <v>9</v>
      </c>
      <c r="B10">
        <v>19.8</v>
      </c>
      <c r="C10">
        <v>61.6</v>
      </c>
    </row>
    <row r="11" spans="1:3" x14ac:dyDescent="0.25">
      <c r="A11" t="s">
        <v>10</v>
      </c>
      <c r="B11">
        <v>18.3</v>
      </c>
      <c r="C11">
        <v>44.8</v>
      </c>
    </row>
    <row r="12" spans="1:3" x14ac:dyDescent="0.25">
      <c r="A12" t="s">
        <v>10</v>
      </c>
      <c r="B12">
        <v>20.6</v>
      </c>
      <c r="C12">
        <v>38.6</v>
      </c>
    </row>
    <row r="13" spans="1:3" x14ac:dyDescent="0.25">
      <c r="A13" t="s">
        <v>10</v>
      </c>
      <c r="B13">
        <v>24.7</v>
      </c>
      <c r="C13">
        <v>41.5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K7" sqref="K7"/>
    </sheetView>
  </sheetViews>
  <sheetFormatPr defaultRowHeight="15" x14ac:dyDescent="0.25"/>
  <cols>
    <col min="3" max="3" width="19.140625" bestFit="1" customWidth="1"/>
    <col min="4" max="4" width="15.42578125" bestFit="1" customWidth="1"/>
    <col min="5" max="5" width="18.42578125" bestFit="1" customWidth="1"/>
    <col min="6" max="6" width="13.85546875" bestFit="1" customWidth="1"/>
  </cols>
  <sheetData>
    <row r="1" spans="1:6" ht="15.75" x14ac:dyDescent="0.25">
      <c r="A1" t="s">
        <v>11</v>
      </c>
      <c r="B1" s="3" t="s">
        <v>0</v>
      </c>
      <c r="C1" s="2" t="s">
        <v>16</v>
      </c>
      <c r="D1" s="2" t="s">
        <v>17</v>
      </c>
      <c r="E1" s="2" t="s">
        <v>18</v>
      </c>
      <c r="F1" s="2" t="s">
        <v>19</v>
      </c>
    </row>
    <row r="2" spans="1:6" ht="15.75" x14ac:dyDescent="0.25">
      <c r="A2" t="s">
        <v>7</v>
      </c>
      <c r="B2" s="3">
        <v>1</v>
      </c>
      <c r="C2" s="4">
        <v>15</v>
      </c>
      <c r="D2" s="5">
        <v>27.74</v>
      </c>
      <c r="E2" s="6">
        <v>225</v>
      </c>
      <c r="F2" s="5">
        <v>62.414999999999992</v>
      </c>
    </row>
    <row r="3" spans="1:6" ht="15.75" x14ac:dyDescent="0.25">
      <c r="A3" t="s">
        <v>7</v>
      </c>
      <c r="B3" s="3">
        <v>2</v>
      </c>
      <c r="C3" s="4">
        <v>14.52</v>
      </c>
      <c r="D3" s="5">
        <v>24.85</v>
      </c>
      <c r="E3" s="6">
        <v>203.28</v>
      </c>
      <c r="F3" s="5">
        <v>50.515080000000005</v>
      </c>
    </row>
    <row r="4" spans="1:6" ht="15.75" x14ac:dyDescent="0.25">
      <c r="A4" t="s">
        <v>7</v>
      </c>
      <c r="B4" s="3">
        <v>3</v>
      </c>
      <c r="C4" s="4">
        <v>16.05</v>
      </c>
      <c r="D4" s="5">
        <v>25.91</v>
      </c>
      <c r="E4" s="6">
        <v>208.65</v>
      </c>
      <c r="F4" s="5">
        <v>54.061215000000004</v>
      </c>
    </row>
    <row r="5" spans="1:6" ht="15.75" x14ac:dyDescent="0.25">
      <c r="A5" t="s">
        <v>8</v>
      </c>
      <c r="B5" s="3">
        <v>1</v>
      </c>
      <c r="C5" s="4">
        <v>12.13</v>
      </c>
      <c r="D5" s="7">
        <v>23.21</v>
      </c>
      <c r="E5" s="6">
        <v>145.56</v>
      </c>
      <c r="F5" s="5">
        <v>33.784475999999998</v>
      </c>
    </row>
    <row r="6" spans="1:6" ht="15.75" x14ac:dyDescent="0.25">
      <c r="A6" t="s">
        <v>8</v>
      </c>
      <c r="B6" s="3">
        <v>2</v>
      </c>
      <c r="C6" s="4">
        <v>14.23</v>
      </c>
      <c r="D6" s="7">
        <v>23.52</v>
      </c>
      <c r="E6" s="6">
        <v>156.53</v>
      </c>
      <c r="F6" s="5">
        <v>36.815855999999997</v>
      </c>
    </row>
    <row r="7" spans="1:6" ht="15.75" x14ac:dyDescent="0.25">
      <c r="A7" t="s">
        <v>8</v>
      </c>
      <c r="B7" s="3">
        <v>3</v>
      </c>
      <c r="C7" s="4">
        <v>13.13</v>
      </c>
      <c r="D7" s="7">
        <v>24.05</v>
      </c>
      <c r="E7" s="6">
        <v>170.69</v>
      </c>
      <c r="F7" s="5">
        <v>41.050945000000006</v>
      </c>
    </row>
    <row r="8" spans="1:6" ht="15.75" x14ac:dyDescent="0.25">
      <c r="A8" t="s">
        <v>9</v>
      </c>
      <c r="B8" s="8">
        <v>1</v>
      </c>
      <c r="C8" s="4">
        <v>13.21</v>
      </c>
      <c r="D8" s="7">
        <v>23.13</v>
      </c>
      <c r="E8" s="6">
        <v>184.94</v>
      </c>
      <c r="F8" s="5">
        <v>42.776621999999996</v>
      </c>
    </row>
    <row r="9" spans="1:6" ht="15.75" x14ac:dyDescent="0.25">
      <c r="A9" t="s">
        <v>9</v>
      </c>
      <c r="B9" s="3">
        <v>2</v>
      </c>
      <c r="C9" s="4">
        <v>12.52</v>
      </c>
      <c r="D9" s="7">
        <v>21.23</v>
      </c>
      <c r="E9" s="6">
        <v>162.76</v>
      </c>
      <c r="F9" s="5">
        <v>34.553947999999998</v>
      </c>
    </row>
    <row r="10" spans="1:6" ht="15.75" x14ac:dyDescent="0.25">
      <c r="A10" t="s">
        <v>9</v>
      </c>
      <c r="B10" s="3">
        <v>3</v>
      </c>
      <c r="C10" s="4">
        <v>15.05</v>
      </c>
      <c r="D10" s="7">
        <v>22.13</v>
      </c>
      <c r="E10" s="6">
        <v>180.60000000000002</v>
      </c>
      <c r="F10" s="5">
        <v>39.966780000000007</v>
      </c>
    </row>
    <row r="11" spans="1:6" ht="15.75" x14ac:dyDescent="0.25">
      <c r="A11" t="s">
        <v>10</v>
      </c>
      <c r="B11" s="3">
        <v>1</v>
      </c>
      <c r="C11" s="4">
        <v>8.1300000000000008</v>
      </c>
      <c r="D11" s="5">
        <v>17.13</v>
      </c>
      <c r="E11" s="6">
        <v>89.43</v>
      </c>
      <c r="F11" s="5">
        <v>15.319358999999999</v>
      </c>
    </row>
    <row r="12" spans="1:6" ht="15.75" x14ac:dyDescent="0.25">
      <c r="A12" t="s">
        <v>10</v>
      </c>
      <c r="B12" s="3">
        <v>2</v>
      </c>
      <c r="C12" s="4">
        <v>10.23</v>
      </c>
      <c r="D12" s="5">
        <v>18.77</v>
      </c>
      <c r="E12" s="6">
        <v>102.30000000000001</v>
      </c>
      <c r="F12" s="5">
        <v>19.201710000000002</v>
      </c>
    </row>
    <row r="13" spans="1:6" ht="15.75" x14ac:dyDescent="0.25">
      <c r="A13" t="s">
        <v>10</v>
      </c>
      <c r="B13" s="3">
        <v>3</v>
      </c>
      <c r="C13" s="4">
        <v>12.13</v>
      </c>
      <c r="D13" s="5">
        <v>18.12</v>
      </c>
      <c r="E13" s="6">
        <v>109.17</v>
      </c>
      <c r="F13" s="5">
        <v>19.781604000000002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selection activeCell="R9" sqref="R9"/>
    </sheetView>
  </sheetViews>
  <sheetFormatPr defaultRowHeight="15" x14ac:dyDescent="0.25"/>
  <cols>
    <col min="1" max="1" width="11.140625" bestFit="1" customWidth="1"/>
    <col min="3" max="3" width="9" bestFit="1" customWidth="1"/>
  </cols>
  <sheetData>
    <row r="1" spans="1:14" x14ac:dyDescent="0.25">
      <c r="A1" t="s">
        <v>11</v>
      </c>
      <c r="B1" t="s">
        <v>0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 x14ac:dyDescent="0.25">
      <c r="A2" t="s">
        <v>7</v>
      </c>
      <c r="B2">
        <v>1</v>
      </c>
      <c r="C2">
        <v>5.2</v>
      </c>
      <c r="D2">
        <v>0.6</v>
      </c>
      <c r="E2">
        <v>0.3</v>
      </c>
      <c r="F2">
        <v>0</v>
      </c>
      <c r="G2">
        <v>73.8</v>
      </c>
      <c r="H2">
        <v>66.599999999999994</v>
      </c>
      <c r="I2">
        <v>55.5</v>
      </c>
      <c r="J2">
        <v>40.200000000000003</v>
      </c>
      <c r="K2">
        <v>180.2</v>
      </c>
      <c r="L2">
        <v>175.6</v>
      </c>
      <c r="M2">
        <v>155.6</v>
      </c>
      <c r="N2">
        <v>108.3</v>
      </c>
    </row>
    <row r="3" spans="1:14" x14ac:dyDescent="0.25">
      <c r="A3" t="s">
        <v>7</v>
      </c>
      <c r="B3">
        <v>2</v>
      </c>
      <c r="C3">
        <v>4.5999999999999996</v>
      </c>
      <c r="D3">
        <v>0.7</v>
      </c>
      <c r="E3">
        <v>0.4</v>
      </c>
      <c r="F3">
        <v>0</v>
      </c>
      <c r="G3">
        <v>65.900000000000006</v>
      </c>
      <c r="H3">
        <v>59.5</v>
      </c>
      <c r="I3">
        <v>49.6</v>
      </c>
      <c r="J3">
        <v>35.6</v>
      </c>
      <c r="K3">
        <v>194.6</v>
      </c>
      <c r="L3">
        <v>169.8</v>
      </c>
      <c r="M3">
        <v>151.30000000000001</v>
      </c>
      <c r="N3">
        <v>102.8</v>
      </c>
    </row>
    <row r="4" spans="1:14" x14ac:dyDescent="0.25">
      <c r="A4" t="s">
        <v>7</v>
      </c>
      <c r="B4">
        <v>3</v>
      </c>
      <c r="C4">
        <v>3.8</v>
      </c>
      <c r="D4">
        <v>0.8</v>
      </c>
      <c r="E4">
        <v>0.2</v>
      </c>
      <c r="F4">
        <v>0</v>
      </c>
      <c r="G4">
        <v>76.2</v>
      </c>
      <c r="H4">
        <v>61.5</v>
      </c>
      <c r="I4">
        <v>52.6</v>
      </c>
      <c r="J4">
        <v>32.9</v>
      </c>
      <c r="K4">
        <v>189.2</v>
      </c>
      <c r="L4">
        <v>179.5</v>
      </c>
      <c r="M4">
        <v>146.80000000000001</v>
      </c>
      <c r="N4">
        <v>99.5</v>
      </c>
    </row>
    <row r="5" spans="1:14" x14ac:dyDescent="0.25">
      <c r="A5" t="s">
        <v>8</v>
      </c>
      <c r="B5">
        <v>1</v>
      </c>
      <c r="C5">
        <v>20</v>
      </c>
      <c r="D5">
        <v>2</v>
      </c>
      <c r="E5">
        <v>1</v>
      </c>
      <c r="F5">
        <v>0.1</v>
      </c>
      <c r="G5">
        <v>66.8</v>
      </c>
      <c r="H5">
        <v>55.5</v>
      </c>
      <c r="I5">
        <v>45.6</v>
      </c>
      <c r="J5">
        <v>28.6</v>
      </c>
      <c r="K5">
        <v>179.6</v>
      </c>
      <c r="L5">
        <v>155.5</v>
      </c>
      <c r="M5">
        <v>135.80000000000001</v>
      </c>
      <c r="N5">
        <v>95.8</v>
      </c>
    </row>
    <row r="6" spans="1:14" x14ac:dyDescent="0.25">
      <c r="A6" t="s">
        <v>8</v>
      </c>
      <c r="B6">
        <v>2</v>
      </c>
      <c r="C6">
        <v>18</v>
      </c>
      <c r="D6">
        <v>1.8</v>
      </c>
      <c r="E6">
        <v>1.1000000000000001</v>
      </c>
      <c r="F6">
        <v>0.2</v>
      </c>
      <c r="G6">
        <v>59.6</v>
      </c>
      <c r="H6">
        <v>49.9</v>
      </c>
      <c r="I6">
        <v>41.6</v>
      </c>
      <c r="J6">
        <v>24.6</v>
      </c>
      <c r="K6">
        <v>182.6</v>
      </c>
      <c r="L6">
        <v>168.5</v>
      </c>
      <c r="M6">
        <v>142.5</v>
      </c>
      <c r="N6">
        <v>102.6</v>
      </c>
    </row>
    <row r="7" spans="1:14" x14ac:dyDescent="0.25">
      <c r="A7" t="s">
        <v>8</v>
      </c>
      <c r="B7">
        <v>3</v>
      </c>
      <c r="C7">
        <v>21</v>
      </c>
      <c r="D7">
        <v>2.2000000000000002</v>
      </c>
      <c r="E7">
        <v>0.8</v>
      </c>
      <c r="F7">
        <v>0.1</v>
      </c>
      <c r="G7">
        <v>56.3</v>
      </c>
      <c r="H7">
        <v>51.6</v>
      </c>
      <c r="I7">
        <v>49.8</v>
      </c>
      <c r="J7">
        <v>30.8</v>
      </c>
      <c r="K7">
        <v>186.8</v>
      </c>
      <c r="L7">
        <v>162.4</v>
      </c>
      <c r="M7">
        <v>140.30000000000001</v>
      </c>
      <c r="N7">
        <v>98.6</v>
      </c>
    </row>
    <row r="8" spans="1:14" x14ac:dyDescent="0.25">
      <c r="A8" t="s">
        <v>9</v>
      </c>
      <c r="B8">
        <v>1</v>
      </c>
      <c r="C8">
        <v>7.6</v>
      </c>
      <c r="D8">
        <v>0.6</v>
      </c>
      <c r="E8">
        <v>1</v>
      </c>
      <c r="F8">
        <v>0.1</v>
      </c>
      <c r="G8">
        <v>56.9</v>
      </c>
      <c r="H8">
        <v>50.2</v>
      </c>
      <c r="I8">
        <v>41.6</v>
      </c>
      <c r="J8">
        <v>28.6</v>
      </c>
      <c r="K8">
        <v>170.8</v>
      </c>
      <c r="L8">
        <v>140.5</v>
      </c>
      <c r="M8">
        <v>130.4</v>
      </c>
      <c r="N8">
        <v>89.9</v>
      </c>
    </row>
    <row r="9" spans="1:14" x14ac:dyDescent="0.25">
      <c r="A9" t="s">
        <v>9</v>
      </c>
      <c r="B9">
        <v>2</v>
      </c>
      <c r="C9">
        <v>8.4</v>
      </c>
      <c r="D9">
        <v>0.9</v>
      </c>
      <c r="E9">
        <v>1.6</v>
      </c>
      <c r="F9">
        <v>0.3</v>
      </c>
      <c r="G9">
        <v>51.7</v>
      </c>
      <c r="H9">
        <v>45.6</v>
      </c>
      <c r="I9">
        <v>48.6</v>
      </c>
      <c r="J9">
        <v>24.9</v>
      </c>
      <c r="K9">
        <v>165.9</v>
      </c>
      <c r="L9">
        <v>143.80000000000001</v>
      </c>
      <c r="M9">
        <v>132.80000000000001</v>
      </c>
      <c r="N9">
        <v>84.6</v>
      </c>
    </row>
    <row r="10" spans="1:14" x14ac:dyDescent="0.25">
      <c r="A10" t="s">
        <v>9</v>
      </c>
      <c r="B10">
        <v>3</v>
      </c>
      <c r="C10">
        <v>7.2</v>
      </c>
      <c r="D10">
        <v>0.8</v>
      </c>
      <c r="E10">
        <v>1.3</v>
      </c>
      <c r="F10">
        <v>0.2</v>
      </c>
      <c r="G10">
        <v>62.8</v>
      </c>
      <c r="H10">
        <v>48.9</v>
      </c>
      <c r="I10">
        <v>39.200000000000003</v>
      </c>
      <c r="J10">
        <v>30.8</v>
      </c>
      <c r="K10">
        <v>179.6</v>
      </c>
      <c r="L10">
        <v>139.80000000000001</v>
      </c>
      <c r="M10">
        <v>138.6</v>
      </c>
      <c r="N10">
        <v>92.6</v>
      </c>
    </row>
    <row r="11" spans="1:14" x14ac:dyDescent="0.25">
      <c r="A11" t="s">
        <v>10</v>
      </c>
      <c r="B11">
        <v>1</v>
      </c>
      <c r="C11">
        <v>30</v>
      </c>
      <c r="D11">
        <v>1.9</v>
      </c>
      <c r="E11">
        <v>4</v>
      </c>
      <c r="F11">
        <v>1</v>
      </c>
      <c r="G11">
        <v>45.5</v>
      </c>
      <c r="H11">
        <v>36.5</v>
      </c>
      <c r="I11">
        <v>29.6</v>
      </c>
      <c r="J11">
        <v>22.8</v>
      </c>
      <c r="K11">
        <v>125.6</v>
      </c>
      <c r="L11">
        <v>120.8</v>
      </c>
      <c r="M11">
        <v>98.3</v>
      </c>
      <c r="N11">
        <v>40.200000000000003</v>
      </c>
    </row>
    <row r="12" spans="1:14" x14ac:dyDescent="0.25">
      <c r="A12" t="s">
        <v>10</v>
      </c>
      <c r="B12">
        <v>2</v>
      </c>
      <c r="C12">
        <v>26</v>
      </c>
      <c r="D12">
        <v>1.7</v>
      </c>
      <c r="E12">
        <v>4.3</v>
      </c>
      <c r="F12">
        <v>0.8</v>
      </c>
      <c r="G12">
        <v>40.299999999999997</v>
      </c>
      <c r="H12">
        <v>31.9</v>
      </c>
      <c r="I12">
        <v>25.6</v>
      </c>
      <c r="J12">
        <v>20.5</v>
      </c>
      <c r="K12">
        <v>139.80000000000001</v>
      </c>
      <c r="L12">
        <v>115.3</v>
      </c>
      <c r="M12">
        <v>86.2</v>
      </c>
      <c r="N12">
        <v>36.200000000000003</v>
      </c>
    </row>
    <row r="13" spans="1:14" x14ac:dyDescent="0.25">
      <c r="A13" t="s">
        <v>10</v>
      </c>
      <c r="B13">
        <v>3</v>
      </c>
      <c r="C13">
        <v>32</v>
      </c>
      <c r="D13">
        <v>2.2000000000000002</v>
      </c>
      <c r="E13">
        <v>3.8</v>
      </c>
      <c r="F13">
        <v>1.3</v>
      </c>
      <c r="G13">
        <v>38.9</v>
      </c>
      <c r="H13">
        <v>30.8</v>
      </c>
      <c r="I13">
        <v>30.9</v>
      </c>
      <c r="J13">
        <v>19.8</v>
      </c>
      <c r="K13">
        <v>141.5</v>
      </c>
      <c r="L13">
        <v>11.9</v>
      </c>
      <c r="M13">
        <v>79.5</v>
      </c>
      <c r="N13">
        <v>29.8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defaultRowHeight="15" x14ac:dyDescent="0.25"/>
  <cols>
    <col min="1" max="1" width="10.85546875" bestFit="1" customWidth="1"/>
    <col min="2" max="2" width="13.42578125" bestFit="1" customWidth="1"/>
    <col min="3" max="3" width="11.85546875" bestFit="1" customWidth="1"/>
  </cols>
  <sheetData>
    <row r="1" spans="1:3" x14ac:dyDescent="0.25">
      <c r="A1" t="s">
        <v>65</v>
      </c>
    </row>
    <row r="2" spans="1:3" x14ac:dyDescent="0.25">
      <c r="A2" t="s">
        <v>11</v>
      </c>
      <c r="B2" t="s">
        <v>32</v>
      </c>
      <c r="C2" t="s">
        <v>33</v>
      </c>
    </row>
    <row r="3" spans="1:3" x14ac:dyDescent="0.25">
      <c r="A3" t="s">
        <v>7</v>
      </c>
      <c r="B3">
        <v>0.57240000000000002</v>
      </c>
      <c r="C3">
        <v>0.1195</v>
      </c>
    </row>
    <row r="4" spans="1:3" x14ac:dyDescent="0.25">
      <c r="A4" t="s">
        <v>7</v>
      </c>
      <c r="B4">
        <v>0.56069999999999998</v>
      </c>
      <c r="C4">
        <v>0.1085</v>
      </c>
    </row>
    <row r="5" spans="1:3" x14ac:dyDescent="0.25">
      <c r="A5" t="s">
        <v>7</v>
      </c>
      <c r="B5">
        <v>0.55010000000000003</v>
      </c>
      <c r="C5">
        <v>9.5399999999999999E-2</v>
      </c>
    </row>
    <row r="6" spans="1:3" x14ac:dyDescent="0.25">
      <c r="A6" t="s">
        <v>8</v>
      </c>
      <c r="B6">
        <v>0.54710000000000003</v>
      </c>
      <c r="C6">
        <v>0.1019</v>
      </c>
    </row>
    <row r="7" spans="1:3" x14ac:dyDescent="0.25">
      <c r="A7" t="s">
        <v>8</v>
      </c>
      <c r="B7">
        <v>0.58330000000000004</v>
      </c>
      <c r="C7">
        <v>0.13489999999999999</v>
      </c>
    </row>
    <row r="8" spans="1:3" x14ac:dyDescent="0.25">
      <c r="A8" t="s">
        <v>8</v>
      </c>
      <c r="B8">
        <v>0.59919999999999995</v>
      </c>
      <c r="C8">
        <v>0.15409999999999999</v>
      </c>
    </row>
    <row r="9" spans="1:3" x14ac:dyDescent="0.25">
      <c r="A9" t="s">
        <v>9</v>
      </c>
      <c r="B9">
        <v>0.59060000000000001</v>
      </c>
      <c r="C9">
        <v>0.12540000000000001</v>
      </c>
    </row>
    <row r="10" spans="1:3" x14ac:dyDescent="0.25">
      <c r="A10" t="s">
        <v>9</v>
      </c>
      <c r="B10">
        <v>0.55010000000000003</v>
      </c>
      <c r="C10">
        <v>8.5400000000000004E-2</v>
      </c>
    </row>
    <row r="11" spans="1:3" x14ac:dyDescent="0.25">
      <c r="A11" t="s">
        <v>9</v>
      </c>
      <c r="B11">
        <v>0.56369999999999998</v>
      </c>
      <c r="C11">
        <v>9.7600000000000006E-2</v>
      </c>
    </row>
    <row r="12" spans="1:3" x14ac:dyDescent="0.25">
      <c r="A12" t="s">
        <v>10</v>
      </c>
      <c r="B12">
        <v>0.6663</v>
      </c>
      <c r="C12">
        <v>0.18909999999999999</v>
      </c>
    </row>
    <row r="13" spans="1:3" x14ac:dyDescent="0.25">
      <c r="A13" t="s">
        <v>10</v>
      </c>
      <c r="B13">
        <v>0.68820000000000003</v>
      </c>
      <c r="C13">
        <v>0.21329999999999999</v>
      </c>
    </row>
    <row r="14" spans="1:3" x14ac:dyDescent="0.25">
      <c r="A14" t="s">
        <v>10</v>
      </c>
      <c r="B14">
        <v>0.68989999999999996</v>
      </c>
      <c r="C14">
        <v>0.21729999999999999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defaultRowHeight="15" x14ac:dyDescent="0.25"/>
  <cols>
    <col min="1" max="1" width="10.85546875" bestFit="1" customWidth="1"/>
  </cols>
  <sheetData>
    <row r="1" spans="1:3" x14ac:dyDescent="0.25">
      <c r="A1" t="s">
        <v>66</v>
      </c>
    </row>
    <row r="2" spans="1:3" x14ac:dyDescent="0.25">
      <c r="A2" t="s">
        <v>11</v>
      </c>
      <c r="B2" t="s">
        <v>34</v>
      </c>
      <c r="C2" t="s">
        <v>35</v>
      </c>
    </row>
    <row r="3" spans="1:3" x14ac:dyDescent="0.25">
      <c r="A3" t="s">
        <v>7</v>
      </c>
      <c r="B3" s="9">
        <v>2.7610999999999999</v>
      </c>
      <c r="C3" s="9">
        <v>2.76241</v>
      </c>
    </row>
    <row r="4" spans="1:3" x14ac:dyDescent="0.25">
      <c r="A4" t="s">
        <v>7</v>
      </c>
      <c r="B4" s="9">
        <v>2.2740999999999998</v>
      </c>
      <c r="C4" s="9">
        <v>2.2753999999999999</v>
      </c>
    </row>
    <row r="5" spans="1:3" x14ac:dyDescent="0.25">
      <c r="A5" t="s">
        <v>7</v>
      </c>
      <c r="B5" s="9">
        <v>2.0539999999999998</v>
      </c>
      <c r="C5" s="9">
        <v>2.0554000000000001</v>
      </c>
    </row>
    <row r="6" spans="1:3" x14ac:dyDescent="0.25">
      <c r="A6" t="s">
        <v>8</v>
      </c>
      <c r="B6" s="9">
        <v>2.6886999999999999</v>
      </c>
      <c r="C6" s="9">
        <v>2.6903000000000001</v>
      </c>
    </row>
    <row r="7" spans="1:3" x14ac:dyDescent="0.25">
      <c r="A7" t="s">
        <v>8</v>
      </c>
      <c r="B7" s="9">
        <v>3.0541999999999998</v>
      </c>
      <c r="C7" s="9">
        <v>3.05585</v>
      </c>
    </row>
    <row r="8" spans="1:3" x14ac:dyDescent="0.25">
      <c r="A8" t="s">
        <v>8</v>
      </c>
      <c r="B8" s="9">
        <v>3.3115000000000001</v>
      </c>
      <c r="C8" s="9">
        <v>3.3131599999999999</v>
      </c>
    </row>
    <row r="9" spans="1:3" x14ac:dyDescent="0.25">
      <c r="A9" t="s">
        <v>9</v>
      </c>
      <c r="B9" s="9">
        <v>2.7446000000000002</v>
      </c>
      <c r="C9" s="9">
        <v>2.7456</v>
      </c>
    </row>
    <row r="10" spans="1:3" x14ac:dyDescent="0.25">
      <c r="A10" t="s">
        <v>9</v>
      </c>
      <c r="B10" s="9">
        <v>2.6722000000000001</v>
      </c>
      <c r="C10" s="9">
        <v>2.6732900000000002</v>
      </c>
    </row>
    <row r="11" spans="1:3" x14ac:dyDescent="0.25">
      <c r="A11" t="s">
        <v>9</v>
      </c>
      <c r="B11" s="9">
        <v>3.0165000000000002</v>
      </c>
      <c r="C11" s="9">
        <v>3.0175999999999998</v>
      </c>
    </row>
    <row r="12" spans="1:3" x14ac:dyDescent="0.25">
      <c r="A12" t="s">
        <v>10</v>
      </c>
      <c r="B12" s="9">
        <v>2.7444999999999999</v>
      </c>
      <c r="C12" s="9">
        <v>2.7456900000000002</v>
      </c>
    </row>
    <row r="13" spans="1:3" x14ac:dyDescent="0.25">
      <c r="A13" t="s">
        <v>10</v>
      </c>
      <c r="B13" s="9">
        <v>2.6722000000000001</v>
      </c>
      <c r="C13" s="9">
        <v>2.6734900000000001</v>
      </c>
    </row>
    <row r="14" spans="1:3" x14ac:dyDescent="0.25">
      <c r="A14" t="s">
        <v>10</v>
      </c>
      <c r="B14" s="9">
        <v>3.0165000000000002</v>
      </c>
      <c r="C14" s="9">
        <v>3.0177499999999999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defaultRowHeight="15" x14ac:dyDescent="0.25"/>
  <cols>
    <col min="1" max="1" width="10.85546875" bestFit="1" customWidth="1"/>
  </cols>
  <sheetData>
    <row r="1" spans="1:3" x14ac:dyDescent="0.25">
      <c r="A1" t="s">
        <v>67</v>
      </c>
    </row>
    <row r="2" spans="1:3" x14ac:dyDescent="0.25">
      <c r="A2" t="s">
        <v>11</v>
      </c>
      <c r="B2" t="s">
        <v>34</v>
      </c>
      <c r="C2" t="s">
        <v>35</v>
      </c>
    </row>
    <row r="3" spans="1:3" x14ac:dyDescent="0.25">
      <c r="A3" t="s">
        <v>7</v>
      </c>
      <c r="B3" s="10">
        <v>1.966</v>
      </c>
      <c r="C3" s="10">
        <v>1.9510000000000001</v>
      </c>
    </row>
    <row r="4" spans="1:3" x14ac:dyDescent="0.25">
      <c r="A4" t="s">
        <v>7</v>
      </c>
      <c r="B4" s="10">
        <v>1.6659999999999999</v>
      </c>
      <c r="C4" s="10">
        <v>1.6512</v>
      </c>
    </row>
    <row r="5" spans="1:3" x14ac:dyDescent="0.25">
      <c r="A5" t="s">
        <v>7</v>
      </c>
      <c r="B5" s="10">
        <v>1.8233999999999999</v>
      </c>
      <c r="C5" s="10">
        <v>1.8088</v>
      </c>
    </row>
    <row r="6" spans="1:3" x14ac:dyDescent="0.25">
      <c r="A6" t="s">
        <v>8</v>
      </c>
      <c r="B6" s="10">
        <v>1.7907999999999999</v>
      </c>
      <c r="C6" s="10">
        <v>1.7799</v>
      </c>
    </row>
    <row r="7" spans="1:3" x14ac:dyDescent="0.25">
      <c r="A7" t="s">
        <v>8</v>
      </c>
      <c r="B7" s="10">
        <v>1.8031999999999999</v>
      </c>
      <c r="C7" s="10">
        <v>1.7922</v>
      </c>
    </row>
    <row r="8" spans="1:3" x14ac:dyDescent="0.25">
      <c r="A8" t="s">
        <v>8</v>
      </c>
      <c r="B8" s="10">
        <v>1.6149</v>
      </c>
      <c r="C8" s="10">
        <v>1.603</v>
      </c>
    </row>
    <row r="9" spans="1:3" x14ac:dyDescent="0.25">
      <c r="A9" t="s">
        <v>9</v>
      </c>
      <c r="B9" s="10">
        <v>1.9139999999999999</v>
      </c>
      <c r="C9" s="10">
        <v>1.893</v>
      </c>
    </row>
    <row r="10" spans="1:3" x14ac:dyDescent="0.25">
      <c r="A10" t="s">
        <v>9</v>
      </c>
      <c r="B10" s="10">
        <v>1.9021999999999999</v>
      </c>
      <c r="C10" s="10">
        <v>1.8817900000000001</v>
      </c>
    </row>
    <row r="11" spans="1:3" x14ac:dyDescent="0.25">
      <c r="A11" t="s">
        <v>9</v>
      </c>
      <c r="B11" s="10">
        <v>1.625</v>
      </c>
      <c r="C11" s="10">
        <v>1.6036999999999999</v>
      </c>
    </row>
    <row r="12" spans="1:3" x14ac:dyDescent="0.25">
      <c r="A12" t="s">
        <v>10</v>
      </c>
      <c r="B12" s="10">
        <v>1.7750999999999999</v>
      </c>
      <c r="C12" s="10">
        <v>1.758</v>
      </c>
    </row>
    <row r="13" spans="1:3" x14ac:dyDescent="0.25">
      <c r="A13" t="s">
        <v>10</v>
      </c>
      <c r="B13" s="10">
        <v>1.5805</v>
      </c>
      <c r="C13" s="10">
        <v>1.5638000000000001</v>
      </c>
    </row>
    <row r="14" spans="1:3" x14ac:dyDescent="0.25">
      <c r="A14" t="s">
        <v>10</v>
      </c>
      <c r="B14" s="10">
        <v>1.7708999999999999</v>
      </c>
      <c r="C14" s="10">
        <v>1.754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defaultRowHeight="15" x14ac:dyDescent="0.25"/>
  <sheetData>
    <row r="1" spans="1:3" x14ac:dyDescent="0.25">
      <c r="A1" t="s">
        <v>68</v>
      </c>
    </row>
    <row r="2" spans="1:3" x14ac:dyDescent="0.25">
      <c r="A2" t="s">
        <v>11</v>
      </c>
      <c r="B2" t="s">
        <v>34</v>
      </c>
      <c r="C2" t="s">
        <v>35</v>
      </c>
    </row>
    <row r="3" spans="1:3" x14ac:dyDescent="0.25">
      <c r="A3" t="s">
        <v>7</v>
      </c>
      <c r="B3">
        <v>3.8708</v>
      </c>
      <c r="C3">
        <v>2.8595000000000002</v>
      </c>
    </row>
    <row r="4" spans="1:3" x14ac:dyDescent="0.25">
      <c r="A4" t="s">
        <v>7</v>
      </c>
      <c r="B4">
        <v>3.9988999999999999</v>
      </c>
      <c r="C4">
        <v>2.9860000000000002</v>
      </c>
    </row>
    <row r="5" spans="1:3" x14ac:dyDescent="0.25">
      <c r="A5" t="s">
        <v>7</v>
      </c>
      <c r="B5">
        <v>3.8437000000000001</v>
      </c>
      <c r="C5">
        <v>2.8327</v>
      </c>
    </row>
    <row r="6" spans="1:3" x14ac:dyDescent="0.25">
      <c r="A6" t="s">
        <v>8</v>
      </c>
      <c r="B6">
        <v>3.7134</v>
      </c>
      <c r="C6">
        <v>2.18912</v>
      </c>
    </row>
    <row r="7" spans="1:3" x14ac:dyDescent="0.25">
      <c r="A7" t="s">
        <v>8</v>
      </c>
      <c r="B7">
        <v>3.7511000000000001</v>
      </c>
      <c r="C7">
        <v>2.3653</v>
      </c>
    </row>
    <row r="8" spans="1:3" x14ac:dyDescent="0.25">
      <c r="A8" t="s">
        <v>8</v>
      </c>
      <c r="B8">
        <v>3.7174999999999998</v>
      </c>
      <c r="C8">
        <v>2.2088899999999998</v>
      </c>
    </row>
    <row r="9" spans="1:3" x14ac:dyDescent="0.25">
      <c r="A9" t="s">
        <v>9</v>
      </c>
      <c r="B9">
        <v>5.3475999999999999</v>
      </c>
      <c r="C9">
        <v>3.2867999999999999</v>
      </c>
    </row>
    <row r="10" spans="1:3" x14ac:dyDescent="0.25">
      <c r="A10" t="s">
        <v>9</v>
      </c>
      <c r="B10">
        <v>5.5419</v>
      </c>
      <c r="C10">
        <v>3.4832000000000001</v>
      </c>
    </row>
    <row r="11" spans="1:3" x14ac:dyDescent="0.25">
      <c r="A11" t="s">
        <v>9</v>
      </c>
      <c r="B11">
        <v>5.5242000000000004</v>
      </c>
      <c r="C11">
        <v>3.4661</v>
      </c>
    </row>
    <row r="12" spans="1:3" x14ac:dyDescent="0.25">
      <c r="A12" t="s">
        <v>10</v>
      </c>
      <c r="B12">
        <v>4.7324999999999999</v>
      </c>
      <c r="C12">
        <v>2.0878000000000001</v>
      </c>
    </row>
    <row r="13" spans="1:3" x14ac:dyDescent="0.25">
      <c r="A13" t="s">
        <v>10</v>
      </c>
      <c r="B13">
        <v>4.7698999999999998</v>
      </c>
      <c r="C13">
        <v>2.0253000000000001</v>
      </c>
    </row>
    <row r="14" spans="1:3" x14ac:dyDescent="0.25">
      <c r="A14" t="s">
        <v>10</v>
      </c>
      <c r="B14">
        <v>4.7332000000000001</v>
      </c>
      <c r="C14">
        <v>2.0889000000000002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 x14ac:dyDescent="0.25"/>
  <sheetData>
    <row r="1" spans="1:3" x14ac:dyDescent="0.25">
      <c r="A1" t="s">
        <v>69</v>
      </c>
    </row>
    <row r="2" spans="1:3" x14ac:dyDescent="0.25">
      <c r="A2" t="s">
        <v>11</v>
      </c>
      <c r="B2" t="s">
        <v>36</v>
      </c>
      <c r="C2" t="s">
        <v>37</v>
      </c>
    </row>
    <row r="3" spans="1:3" x14ac:dyDescent="0.25">
      <c r="A3" t="s">
        <v>7</v>
      </c>
      <c r="B3">
        <v>0.92849999999999999</v>
      </c>
      <c r="C3">
        <v>0.41339999999999999</v>
      </c>
    </row>
    <row r="4" spans="1:3" x14ac:dyDescent="0.25">
      <c r="A4" t="s">
        <v>7</v>
      </c>
      <c r="B4">
        <v>0.87519999999999998</v>
      </c>
      <c r="C4">
        <v>0.30959999999999999</v>
      </c>
    </row>
    <row r="5" spans="1:3" x14ac:dyDescent="0.25">
      <c r="A5" t="s">
        <v>7</v>
      </c>
      <c r="B5">
        <v>0.93069999999999997</v>
      </c>
      <c r="C5">
        <v>0.39829999999999999</v>
      </c>
    </row>
    <row r="6" spans="1:3" x14ac:dyDescent="0.25">
      <c r="A6" t="s">
        <v>8</v>
      </c>
      <c r="B6">
        <v>1.9276</v>
      </c>
      <c r="C6">
        <v>1.2170000000000001</v>
      </c>
    </row>
    <row r="7" spans="1:3" x14ac:dyDescent="0.25">
      <c r="A7" t="s">
        <v>8</v>
      </c>
      <c r="B7">
        <v>1.6777</v>
      </c>
      <c r="C7">
        <v>0.92596000000000001</v>
      </c>
    </row>
    <row r="8" spans="1:3" x14ac:dyDescent="0.25">
      <c r="A8" t="s">
        <v>8</v>
      </c>
      <c r="B8">
        <v>1.9884999999999999</v>
      </c>
      <c r="C8">
        <v>1.2764</v>
      </c>
    </row>
    <row r="9" spans="1:3" x14ac:dyDescent="0.25">
      <c r="A9" t="s">
        <v>9</v>
      </c>
      <c r="B9">
        <v>1.1166</v>
      </c>
      <c r="C9">
        <v>0.58650000000000002</v>
      </c>
    </row>
    <row r="10" spans="1:3" x14ac:dyDescent="0.25">
      <c r="A10" t="s">
        <v>9</v>
      </c>
      <c r="B10">
        <v>0.99439999999999995</v>
      </c>
      <c r="C10">
        <v>0.58919999999999995</v>
      </c>
    </row>
    <row r="11" spans="1:3" x14ac:dyDescent="0.25">
      <c r="A11" t="s">
        <v>9</v>
      </c>
      <c r="B11">
        <v>0.91710000000000003</v>
      </c>
      <c r="C11">
        <v>0.53339999999999999</v>
      </c>
    </row>
    <row r="12" spans="1:3" x14ac:dyDescent="0.25">
      <c r="A12" t="s">
        <v>10</v>
      </c>
      <c r="B12">
        <v>1.0923</v>
      </c>
      <c r="C12">
        <v>0.65720000000000001</v>
      </c>
    </row>
    <row r="13" spans="1:3" x14ac:dyDescent="0.25">
      <c r="A13" t="s">
        <v>10</v>
      </c>
      <c r="B13">
        <v>1.7004999999999999</v>
      </c>
      <c r="C13">
        <v>0.99560000000000004</v>
      </c>
    </row>
    <row r="14" spans="1:3" x14ac:dyDescent="0.25">
      <c r="A14" t="s">
        <v>10</v>
      </c>
      <c r="B14">
        <v>1.0421</v>
      </c>
      <c r="C14">
        <v>0.60241</v>
      </c>
    </row>
    <row r="15" spans="1:3" x14ac:dyDescent="0.25">
      <c r="A15" t="s">
        <v>38</v>
      </c>
      <c r="B15">
        <v>0.4657</v>
      </c>
      <c r="C15">
        <v>0.4627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 x14ac:dyDescent="0.25"/>
  <cols>
    <col min="2" max="2" width="14.7109375" bestFit="1" customWidth="1"/>
  </cols>
  <sheetData>
    <row r="1" spans="1:2" x14ac:dyDescent="0.25">
      <c r="A1" t="s">
        <v>70</v>
      </c>
    </row>
    <row r="2" spans="1:2" x14ac:dyDescent="0.25">
      <c r="A2" t="s">
        <v>11</v>
      </c>
      <c r="B2" t="s">
        <v>41</v>
      </c>
    </row>
    <row r="3" spans="1:2" x14ac:dyDescent="0.25">
      <c r="A3" t="s">
        <v>7</v>
      </c>
      <c r="B3">
        <v>2.1223999999999998</v>
      </c>
    </row>
    <row r="4" spans="1:2" x14ac:dyDescent="0.25">
      <c r="A4" t="s">
        <v>7</v>
      </c>
      <c r="B4">
        <v>2.1930999999999998</v>
      </c>
    </row>
    <row r="5" spans="1:2" x14ac:dyDescent="0.25">
      <c r="A5" t="s">
        <v>7</v>
      </c>
      <c r="B5">
        <v>2.0255999999999998</v>
      </c>
    </row>
    <row r="6" spans="1:2" x14ac:dyDescent="0.25">
      <c r="A6" t="s">
        <v>8</v>
      </c>
      <c r="B6">
        <v>1.9843999999999999</v>
      </c>
    </row>
    <row r="7" spans="1:2" x14ac:dyDescent="0.25">
      <c r="A7" t="s">
        <v>8</v>
      </c>
      <c r="B7">
        <v>1.9155</v>
      </c>
    </row>
    <row r="8" spans="1:2" x14ac:dyDescent="0.25">
      <c r="A8" t="s">
        <v>8</v>
      </c>
      <c r="B8">
        <v>1.8969</v>
      </c>
    </row>
    <row r="9" spans="1:2" x14ac:dyDescent="0.25">
      <c r="A9" t="s">
        <v>9</v>
      </c>
      <c r="B9">
        <v>1.8842000000000001</v>
      </c>
    </row>
    <row r="10" spans="1:2" x14ac:dyDescent="0.25">
      <c r="A10" t="s">
        <v>9</v>
      </c>
      <c r="B10">
        <v>1.8745000000000001</v>
      </c>
    </row>
    <row r="11" spans="1:2" x14ac:dyDescent="0.25">
      <c r="A11" t="s">
        <v>9</v>
      </c>
      <c r="B11">
        <v>1.8108</v>
      </c>
    </row>
    <row r="12" spans="1:2" x14ac:dyDescent="0.25">
      <c r="A12" t="s">
        <v>10</v>
      </c>
      <c r="B12">
        <v>1.5325</v>
      </c>
    </row>
    <row r="13" spans="1:2" x14ac:dyDescent="0.25">
      <c r="A13" t="s">
        <v>10</v>
      </c>
      <c r="B13">
        <v>1.4278999999999999</v>
      </c>
    </row>
    <row r="14" spans="1:2" x14ac:dyDescent="0.25">
      <c r="A14" t="s">
        <v>10</v>
      </c>
      <c r="B14">
        <v>1.5483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/>
  </sheetViews>
  <sheetFormatPr defaultRowHeight="15" x14ac:dyDescent="0.25"/>
  <sheetData>
    <row r="1" spans="1:2" x14ac:dyDescent="0.25">
      <c r="A1" t="s">
        <v>70</v>
      </c>
    </row>
    <row r="2" spans="1:2" x14ac:dyDescent="0.25">
      <c r="A2" t="s">
        <v>11</v>
      </c>
      <c r="B2" t="s">
        <v>42</v>
      </c>
    </row>
    <row r="3" spans="1:2" x14ac:dyDescent="0.25">
      <c r="A3" t="s">
        <v>7</v>
      </c>
      <c r="B3">
        <v>0.40510000000000002</v>
      </c>
    </row>
    <row r="4" spans="1:2" x14ac:dyDescent="0.25">
      <c r="A4" t="s">
        <v>7</v>
      </c>
      <c r="B4">
        <v>0.41339999999999999</v>
      </c>
    </row>
    <row r="5" spans="1:2" x14ac:dyDescent="0.25">
      <c r="A5" t="s">
        <v>7</v>
      </c>
      <c r="B5">
        <v>0.42649999999999999</v>
      </c>
    </row>
    <row r="6" spans="1:2" x14ac:dyDescent="0.25">
      <c r="A6" t="s">
        <v>8</v>
      </c>
      <c r="B6">
        <v>0.58809999999999996</v>
      </c>
    </row>
    <row r="7" spans="1:2" x14ac:dyDescent="0.25">
      <c r="A7" t="s">
        <v>8</v>
      </c>
      <c r="B7">
        <v>0.54890000000000005</v>
      </c>
    </row>
    <row r="8" spans="1:2" x14ac:dyDescent="0.25">
      <c r="A8" t="s">
        <v>8</v>
      </c>
      <c r="B8">
        <v>0.58179999999999998</v>
      </c>
    </row>
    <row r="9" spans="1:2" x14ac:dyDescent="0.25">
      <c r="A9" t="s">
        <v>9</v>
      </c>
      <c r="B9">
        <v>0.24940000000000001</v>
      </c>
    </row>
    <row r="10" spans="1:2" x14ac:dyDescent="0.25">
      <c r="A10" t="s">
        <v>9</v>
      </c>
      <c r="B10">
        <v>0.24310000000000001</v>
      </c>
    </row>
    <row r="11" spans="1:2" x14ac:dyDescent="0.25">
      <c r="A11" t="s">
        <v>9</v>
      </c>
      <c r="B11">
        <v>0.2455</v>
      </c>
    </row>
    <row r="12" spans="1:2" x14ac:dyDescent="0.25">
      <c r="A12" t="s">
        <v>10</v>
      </c>
      <c r="B12">
        <v>0.35930000000000001</v>
      </c>
    </row>
    <row r="13" spans="1:2" x14ac:dyDescent="0.25">
      <c r="A13" t="s">
        <v>10</v>
      </c>
      <c r="B13">
        <v>0.35959999999999998</v>
      </c>
    </row>
    <row r="14" spans="1:2" x14ac:dyDescent="0.25">
      <c r="A14" t="s">
        <v>10</v>
      </c>
      <c r="B14">
        <v>0.36990000000000001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defaultRowHeight="15" x14ac:dyDescent="0.25"/>
  <sheetData>
    <row r="1" spans="1:3" x14ac:dyDescent="0.25">
      <c r="A1" t="s">
        <v>71</v>
      </c>
    </row>
    <row r="2" spans="1:3" x14ac:dyDescent="0.25">
      <c r="A2" t="s">
        <v>11</v>
      </c>
      <c r="B2" t="s">
        <v>43</v>
      </c>
      <c r="C2" t="s">
        <v>44</v>
      </c>
    </row>
    <row r="3" spans="1:3" x14ac:dyDescent="0.25">
      <c r="A3" t="s">
        <v>7</v>
      </c>
      <c r="B3">
        <v>0.36919999999999997</v>
      </c>
      <c r="C3">
        <v>6.1199999999999997E-2</v>
      </c>
    </row>
    <row r="4" spans="1:3" x14ac:dyDescent="0.25">
      <c r="A4" t="s">
        <v>7</v>
      </c>
      <c r="B4">
        <v>0.36459999999999998</v>
      </c>
      <c r="C4">
        <v>5.8900000000000001E-2</v>
      </c>
    </row>
    <row r="5" spans="1:3" x14ac:dyDescent="0.25">
      <c r="A5" t="s">
        <v>7</v>
      </c>
      <c r="B5">
        <v>0.36349999999999999</v>
      </c>
      <c r="C5">
        <v>8.2299999999999998E-2</v>
      </c>
    </row>
    <row r="6" spans="1:3" x14ac:dyDescent="0.25">
      <c r="A6" t="s">
        <v>8</v>
      </c>
      <c r="B6">
        <v>0.38369999999999999</v>
      </c>
      <c r="C6">
        <v>7.3200000000000001E-2</v>
      </c>
    </row>
    <row r="7" spans="1:3" x14ac:dyDescent="0.25">
      <c r="A7" t="s">
        <v>8</v>
      </c>
      <c r="B7">
        <v>0.38640000000000002</v>
      </c>
      <c r="C7">
        <v>5.8200000000000002E-2</v>
      </c>
    </row>
    <row r="8" spans="1:3" x14ac:dyDescent="0.25">
      <c r="A8" t="s">
        <v>8</v>
      </c>
      <c r="B8">
        <v>0.38679999999999998</v>
      </c>
      <c r="C8">
        <v>6.1699999999999998E-2</v>
      </c>
    </row>
    <row r="9" spans="1:3" x14ac:dyDescent="0.25">
      <c r="A9" t="s">
        <v>9</v>
      </c>
      <c r="B9">
        <v>0.3997</v>
      </c>
      <c r="C9">
        <v>6.9699999999999998E-2</v>
      </c>
    </row>
    <row r="10" spans="1:3" x14ac:dyDescent="0.25">
      <c r="A10" t="s">
        <v>9</v>
      </c>
      <c r="B10">
        <v>0.39650000000000002</v>
      </c>
      <c r="C10">
        <v>6.9599999999999995E-2</v>
      </c>
    </row>
    <row r="11" spans="1:3" x14ac:dyDescent="0.25">
      <c r="A11" t="s">
        <v>9</v>
      </c>
      <c r="B11">
        <v>0.39079999999999998</v>
      </c>
      <c r="C11">
        <v>6.5199999999999994E-2</v>
      </c>
    </row>
    <row r="12" spans="1:3" x14ac:dyDescent="0.25">
      <c r="A12" t="s">
        <v>10</v>
      </c>
      <c r="B12">
        <v>0.45660000000000001</v>
      </c>
      <c r="C12">
        <v>6.1600000000000002E-2</v>
      </c>
    </row>
    <row r="13" spans="1:3" x14ac:dyDescent="0.25">
      <c r="A13" t="s">
        <v>10</v>
      </c>
      <c r="B13">
        <v>0.4546</v>
      </c>
      <c r="C13">
        <v>6.2199999999999998E-2</v>
      </c>
    </row>
    <row r="14" spans="1:3" x14ac:dyDescent="0.25">
      <c r="A14" t="s">
        <v>10</v>
      </c>
      <c r="B14">
        <v>0.44579999999999997</v>
      </c>
      <c r="C14">
        <v>6.59E-2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sqref="A1:XFD1048576"/>
    </sheetView>
  </sheetViews>
  <sheetFormatPr defaultRowHeight="15" x14ac:dyDescent="0.25"/>
  <cols>
    <col min="2" max="2" width="9" bestFit="1" customWidth="1"/>
    <col min="3" max="3" width="9.28515625" bestFit="1" customWidth="1"/>
    <col min="5" max="5" width="9.7109375" bestFit="1" customWidth="1"/>
  </cols>
  <sheetData>
    <row r="1" spans="1:5" x14ac:dyDescent="0.25">
      <c r="A1" t="s">
        <v>11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25">
      <c r="A2" t="s">
        <v>45</v>
      </c>
      <c r="B2">
        <v>5.2</v>
      </c>
      <c r="C2">
        <v>0.6</v>
      </c>
      <c r="D2">
        <v>0.3</v>
      </c>
      <c r="E2">
        <v>0</v>
      </c>
    </row>
    <row r="3" spans="1:5" x14ac:dyDescent="0.25">
      <c r="A3" t="s">
        <v>45</v>
      </c>
      <c r="B3">
        <v>4.5999999999999996</v>
      </c>
      <c r="C3">
        <v>0.7</v>
      </c>
      <c r="D3">
        <v>0.4</v>
      </c>
      <c r="E3">
        <v>0</v>
      </c>
    </row>
    <row r="4" spans="1:5" x14ac:dyDescent="0.25">
      <c r="A4" t="s">
        <v>45</v>
      </c>
      <c r="B4">
        <v>3.8</v>
      </c>
      <c r="C4">
        <v>0.8</v>
      </c>
      <c r="D4">
        <v>0.2</v>
      </c>
      <c r="E4">
        <v>0</v>
      </c>
    </row>
    <row r="5" spans="1:5" x14ac:dyDescent="0.25">
      <c r="A5" t="s">
        <v>46</v>
      </c>
      <c r="B5">
        <v>20</v>
      </c>
      <c r="C5">
        <v>2</v>
      </c>
      <c r="D5">
        <v>1</v>
      </c>
      <c r="E5">
        <v>0.1</v>
      </c>
    </row>
    <row r="6" spans="1:5" x14ac:dyDescent="0.25">
      <c r="A6" t="s">
        <v>46</v>
      </c>
      <c r="B6">
        <v>18</v>
      </c>
      <c r="C6">
        <v>1.8</v>
      </c>
      <c r="D6">
        <v>1.1000000000000001</v>
      </c>
      <c r="E6">
        <v>0.2</v>
      </c>
    </row>
    <row r="7" spans="1:5" x14ac:dyDescent="0.25">
      <c r="A7" t="s">
        <v>46</v>
      </c>
      <c r="B7">
        <v>21</v>
      </c>
      <c r="C7">
        <v>2.2000000000000002</v>
      </c>
      <c r="D7">
        <v>0.8</v>
      </c>
      <c r="E7">
        <v>0.1</v>
      </c>
    </row>
    <row r="8" spans="1:5" x14ac:dyDescent="0.25">
      <c r="A8" t="s">
        <v>47</v>
      </c>
      <c r="B8">
        <v>7.6</v>
      </c>
      <c r="C8">
        <v>0.6</v>
      </c>
      <c r="D8">
        <v>1</v>
      </c>
      <c r="E8">
        <v>0.1</v>
      </c>
    </row>
    <row r="9" spans="1:5" x14ac:dyDescent="0.25">
      <c r="A9" t="s">
        <v>47</v>
      </c>
      <c r="B9">
        <v>8.4</v>
      </c>
      <c r="C9">
        <v>0.9</v>
      </c>
      <c r="D9">
        <v>1.6</v>
      </c>
      <c r="E9">
        <v>0.3</v>
      </c>
    </row>
    <row r="10" spans="1:5" x14ac:dyDescent="0.25">
      <c r="A10" t="s">
        <v>47</v>
      </c>
      <c r="B10">
        <v>7.2</v>
      </c>
      <c r="C10">
        <v>0.8</v>
      </c>
      <c r="D10">
        <v>1.3</v>
      </c>
      <c r="E10">
        <v>0.2</v>
      </c>
    </row>
    <row r="11" spans="1:5" x14ac:dyDescent="0.25">
      <c r="A11" t="s">
        <v>48</v>
      </c>
      <c r="B11">
        <v>30</v>
      </c>
      <c r="C11">
        <v>1.9</v>
      </c>
      <c r="D11">
        <v>4</v>
      </c>
      <c r="E11">
        <v>1</v>
      </c>
    </row>
    <row r="12" spans="1:5" x14ac:dyDescent="0.25">
      <c r="A12" t="s">
        <v>48</v>
      </c>
      <c r="B12">
        <v>26</v>
      </c>
      <c r="C12">
        <v>1.7</v>
      </c>
      <c r="D12">
        <v>4.3</v>
      </c>
      <c r="E12">
        <v>0.8</v>
      </c>
    </row>
    <row r="13" spans="1:5" x14ac:dyDescent="0.25">
      <c r="A13" t="s">
        <v>48</v>
      </c>
      <c r="B13">
        <v>32</v>
      </c>
      <c r="C13">
        <v>2.2000000000000002</v>
      </c>
      <c r="D13">
        <v>3.8</v>
      </c>
      <c r="E13">
        <v>1.3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I18" sqref="I18"/>
    </sheetView>
  </sheetViews>
  <sheetFormatPr defaultRowHeight="15" x14ac:dyDescent="0.25"/>
  <sheetData>
    <row r="1" spans="1:5" x14ac:dyDescent="0.25">
      <c r="A1" t="s">
        <v>11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25">
      <c r="A2" t="s">
        <v>45</v>
      </c>
      <c r="B2">
        <v>73.8</v>
      </c>
      <c r="C2">
        <v>66.599999999999994</v>
      </c>
      <c r="D2">
        <v>55.5</v>
      </c>
      <c r="E2">
        <v>40.200000000000003</v>
      </c>
    </row>
    <row r="3" spans="1:5" x14ac:dyDescent="0.25">
      <c r="A3" t="s">
        <v>45</v>
      </c>
      <c r="B3">
        <v>65.900000000000006</v>
      </c>
      <c r="C3">
        <v>59.5</v>
      </c>
      <c r="D3">
        <v>49.6</v>
      </c>
      <c r="E3">
        <v>35.6</v>
      </c>
    </row>
    <row r="4" spans="1:5" x14ac:dyDescent="0.25">
      <c r="A4" t="s">
        <v>45</v>
      </c>
      <c r="B4">
        <v>76.2</v>
      </c>
      <c r="C4">
        <v>61.5</v>
      </c>
      <c r="D4">
        <v>52.6</v>
      </c>
      <c r="E4">
        <v>32.9</v>
      </c>
    </row>
    <row r="5" spans="1:5" x14ac:dyDescent="0.25">
      <c r="A5" t="s">
        <v>46</v>
      </c>
      <c r="B5">
        <v>66.8</v>
      </c>
      <c r="C5">
        <v>55.5</v>
      </c>
      <c r="D5">
        <v>45.6</v>
      </c>
      <c r="E5">
        <v>28.6</v>
      </c>
    </row>
    <row r="6" spans="1:5" x14ac:dyDescent="0.25">
      <c r="A6" t="s">
        <v>46</v>
      </c>
      <c r="B6">
        <v>59.6</v>
      </c>
      <c r="C6">
        <v>49.9</v>
      </c>
      <c r="D6">
        <v>41.6</v>
      </c>
      <c r="E6">
        <v>24.6</v>
      </c>
    </row>
    <row r="7" spans="1:5" x14ac:dyDescent="0.25">
      <c r="A7" t="s">
        <v>46</v>
      </c>
      <c r="B7">
        <v>56.3</v>
      </c>
      <c r="C7">
        <v>51.6</v>
      </c>
      <c r="D7">
        <v>49.8</v>
      </c>
      <c r="E7">
        <v>30.8</v>
      </c>
    </row>
    <row r="8" spans="1:5" x14ac:dyDescent="0.25">
      <c r="A8" t="s">
        <v>47</v>
      </c>
      <c r="B8">
        <v>56.9</v>
      </c>
      <c r="C8">
        <v>50.2</v>
      </c>
      <c r="D8">
        <v>41.6</v>
      </c>
      <c r="E8">
        <v>28.6</v>
      </c>
    </row>
    <row r="9" spans="1:5" x14ac:dyDescent="0.25">
      <c r="A9" t="s">
        <v>47</v>
      </c>
      <c r="B9">
        <v>51.7</v>
      </c>
      <c r="C9">
        <v>45.6</v>
      </c>
      <c r="D9">
        <v>48.6</v>
      </c>
      <c r="E9">
        <v>24.9</v>
      </c>
    </row>
    <row r="10" spans="1:5" x14ac:dyDescent="0.25">
      <c r="A10" t="s">
        <v>47</v>
      </c>
      <c r="B10">
        <v>62.8</v>
      </c>
      <c r="C10">
        <v>48.9</v>
      </c>
      <c r="D10">
        <v>39.200000000000003</v>
      </c>
      <c r="E10">
        <v>30.8</v>
      </c>
    </row>
    <row r="11" spans="1:5" x14ac:dyDescent="0.25">
      <c r="A11" t="s">
        <v>48</v>
      </c>
      <c r="B11">
        <v>45.5</v>
      </c>
      <c r="C11">
        <v>36.5</v>
      </c>
      <c r="D11">
        <v>29.6</v>
      </c>
      <c r="E11">
        <v>22.8</v>
      </c>
    </row>
    <row r="12" spans="1:5" x14ac:dyDescent="0.25">
      <c r="A12" t="s">
        <v>48</v>
      </c>
      <c r="B12">
        <v>40.299999999999997</v>
      </c>
      <c r="C12">
        <v>31.9</v>
      </c>
      <c r="D12">
        <v>25.6</v>
      </c>
      <c r="E12">
        <v>20.5</v>
      </c>
    </row>
    <row r="13" spans="1:5" x14ac:dyDescent="0.25">
      <c r="A13" t="s">
        <v>48</v>
      </c>
      <c r="B13">
        <v>38.9</v>
      </c>
      <c r="C13">
        <v>30.8</v>
      </c>
      <c r="D13">
        <v>30.9</v>
      </c>
      <c r="E13">
        <v>19.8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L16" sqref="L16"/>
    </sheetView>
  </sheetViews>
  <sheetFormatPr defaultRowHeight="15" x14ac:dyDescent="0.25"/>
  <sheetData>
    <row r="1" spans="1:5" x14ac:dyDescent="0.25">
      <c r="A1" t="s">
        <v>11</v>
      </c>
      <c r="B1" t="s">
        <v>28</v>
      </c>
      <c r="C1" t="s">
        <v>29</v>
      </c>
      <c r="D1" t="s">
        <v>30</v>
      </c>
      <c r="E1" t="s">
        <v>31</v>
      </c>
    </row>
    <row r="2" spans="1:5" x14ac:dyDescent="0.25">
      <c r="A2" t="s">
        <v>45</v>
      </c>
      <c r="B2">
        <v>180.2</v>
      </c>
      <c r="C2">
        <v>175.6</v>
      </c>
      <c r="D2">
        <v>155.6</v>
      </c>
      <c r="E2">
        <v>108.3</v>
      </c>
    </row>
    <row r="3" spans="1:5" x14ac:dyDescent="0.25">
      <c r="A3" t="s">
        <v>45</v>
      </c>
      <c r="B3">
        <v>194.6</v>
      </c>
      <c r="C3">
        <v>169.8</v>
      </c>
      <c r="D3">
        <v>151.30000000000001</v>
      </c>
      <c r="E3">
        <v>102.8</v>
      </c>
    </row>
    <row r="4" spans="1:5" x14ac:dyDescent="0.25">
      <c r="A4" t="s">
        <v>45</v>
      </c>
      <c r="B4">
        <v>189.2</v>
      </c>
      <c r="C4">
        <v>179.5</v>
      </c>
      <c r="D4">
        <v>146.80000000000001</v>
      </c>
      <c r="E4">
        <v>99.5</v>
      </c>
    </row>
    <row r="5" spans="1:5" x14ac:dyDescent="0.25">
      <c r="A5" t="s">
        <v>46</v>
      </c>
      <c r="B5">
        <v>179.6</v>
      </c>
      <c r="C5">
        <v>155.5</v>
      </c>
      <c r="D5">
        <v>135.80000000000001</v>
      </c>
      <c r="E5">
        <v>95.8</v>
      </c>
    </row>
    <row r="6" spans="1:5" x14ac:dyDescent="0.25">
      <c r="A6" t="s">
        <v>46</v>
      </c>
      <c r="B6">
        <v>182.6</v>
      </c>
      <c r="C6">
        <v>168.5</v>
      </c>
      <c r="D6">
        <v>142.5</v>
      </c>
      <c r="E6">
        <v>102.6</v>
      </c>
    </row>
    <row r="7" spans="1:5" x14ac:dyDescent="0.25">
      <c r="A7" t="s">
        <v>46</v>
      </c>
      <c r="B7">
        <v>186.8</v>
      </c>
      <c r="C7">
        <v>162.4</v>
      </c>
      <c r="D7">
        <v>140.30000000000001</v>
      </c>
      <c r="E7">
        <v>98.6</v>
      </c>
    </row>
    <row r="8" spans="1:5" x14ac:dyDescent="0.25">
      <c r="A8" t="s">
        <v>47</v>
      </c>
      <c r="B8">
        <v>170.8</v>
      </c>
      <c r="C8">
        <v>140.5</v>
      </c>
      <c r="D8">
        <v>130.4</v>
      </c>
      <c r="E8">
        <v>89.9</v>
      </c>
    </row>
    <row r="9" spans="1:5" x14ac:dyDescent="0.25">
      <c r="A9" t="s">
        <v>47</v>
      </c>
      <c r="B9">
        <v>165.9</v>
      </c>
      <c r="C9">
        <v>143.80000000000001</v>
      </c>
      <c r="D9">
        <v>132.80000000000001</v>
      </c>
      <c r="E9">
        <v>84.6</v>
      </c>
    </row>
    <row r="10" spans="1:5" x14ac:dyDescent="0.25">
      <c r="A10" t="s">
        <v>47</v>
      </c>
      <c r="B10">
        <v>179.6</v>
      </c>
      <c r="C10">
        <v>139.80000000000001</v>
      </c>
      <c r="D10">
        <v>138.6</v>
      </c>
      <c r="E10">
        <v>92.6</v>
      </c>
    </row>
    <row r="11" spans="1:5" x14ac:dyDescent="0.25">
      <c r="A11" t="s">
        <v>48</v>
      </c>
      <c r="B11">
        <v>125.6</v>
      </c>
      <c r="C11">
        <v>120.8</v>
      </c>
      <c r="D11">
        <v>98.3</v>
      </c>
      <c r="E11">
        <v>40.200000000000003</v>
      </c>
    </row>
    <row r="12" spans="1:5" x14ac:dyDescent="0.25">
      <c r="A12" t="s">
        <v>48</v>
      </c>
      <c r="B12">
        <v>139.80000000000001</v>
      </c>
      <c r="C12">
        <v>115.3</v>
      </c>
      <c r="D12">
        <v>86.2</v>
      </c>
      <c r="E12">
        <v>36.200000000000003</v>
      </c>
    </row>
    <row r="13" spans="1:5" x14ac:dyDescent="0.25">
      <c r="A13" t="s">
        <v>48</v>
      </c>
      <c r="B13">
        <v>141.5</v>
      </c>
      <c r="C13">
        <v>11.9</v>
      </c>
      <c r="D13">
        <v>79.5</v>
      </c>
      <c r="E13">
        <v>29.8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workbookViewId="0">
      <selection activeCell="O17" sqref="O17"/>
    </sheetView>
  </sheetViews>
  <sheetFormatPr defaultRowHeight="15" x14ac:dyDescent="0.25"/>
  <cols>
    <col min="1" max="7" width="9.140625" style="11"/>
    <col min="8" max="8" width="20.7109375" style="11" bestFit="1" customWidth="1"/>
    <col min="9" max="16384" width="9.140625" style="11"/>
  </cols>
  <sheetData>
    <row r="1" spans="1:18" x14ac:dyDescent="0.25">
      <c r="A1" s="13" t="s">
        <v>61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x14ac:dyDescent="0.25">
      <c r="A3" s="11" t="s">
        <v>49</v>
      </c>
      <c r="B3" s="11" t="s">
        <v>50</v>
      </c>
      <c r="C3" s="11" t="s">
        <v>1</v>
      </c>
      <c r="D3" s="11" t="s">
        <v>4</v>
      </c>
      <c r="E3" s="11" t="s">
        <v>51</v>
      </c>
      <c r="F3" s="11" t="s">
        <v>12</v>
      </c>
      <c r="G3" s="11" t="s">
        <v>13</v>
      </c>
      <c r="H3" s="11" t="s">
        <v>14</v>
      </c>
      <c r="I3" s="11" t="s">
        <v>15</v>
      </c>
      <c r="J3" s="11" t="s">
        <v>52</v>
      </c>
      <c r="K3" s="11" t="s">
        <v>53</v>
      </c>
      <c r="L3" s="11" t="s">
        <v>54</v>
      </c>
      <c r="M3" s="11" t="s">
        <v>55</v>
      </c>
      <c r="N3" s="11" t="s">
        <v>56</v>
      </c>
      <c r="O3" s="11" t="s">
        <v>57</v>
      </c>
      <c r="P3" s="11" t="s">
        <v>58</v>
      </c>
      <c r="Q3" s="11" t="s">
        <v>59</v>
      </c>
      <c r="R3" s="11" t="s">
        <v>60</v>
      </c>
    </row>
    <row r="4" spans="1:18" x14ac:dyDescent="0.25">
      <c r="A4" s="11">
        <v>157.66666666666666</v>
      </c>
      <c r="B4" s="11">
        <v>41.06666666666667</v>
      </c>
      <c r="C4" s="11">
        <v>157.33333333333334</v>
      </c>
      <c r="D4" s="11">
        <v>231.35</v>
      </c>
      <c r="E4" s="11">
        <v>12.353160521752436</v>
      </c>
      <c r="F4" s="11">
        <v>49.983274903689875</v>
      </c>
      <c r="G4" s="11">
        <v>126.18091527378732</v>
      </c>
      <c r="H4" s="11">
        <v>0.33833182054862604</v>
      </c>
      <c r="I4" s="11">
        <v>6.1319394178090967E-3</v>
      </c>
      <c r="J4" s="11">
        <v>103.83774506585296</v>
      </c>
      <c r="K4" s="11">
        <v>95.344433333345535</v>
      </c>
      <c r="L4" s="11">
        <v>100.34399999999948</v>
      </c>
      <c r="M4" s="11">
        <v>18.160146666666662</v>
      </c>
      <c r="N4" s="11">
        <v>2.8659919999999999</v>
      </c>
      <c r="O4" s="11">
        <v>8535.3230935505981</v>
      </c>
      <c r="P4" s="11">
        <v>53.030999999999999</v>
      </c>
      <c r="Q4" s="11">
        <v>94.870777999999987</v>
      </c>
      <c r="R4" s="11">
        <v>0.24912697981056997</v>
      </c>
    </row>
    <row r="5" spans="1:18" x14ac:dyDescent="0.25">
      <c r="A5" s="11">
        <v>141.33333333333334</v>
      </c>
      <c r="B5" s="11">
        <v>33.333333333333336</v>
      </c>
      <c r="C5" s="11">
        <v>151.33333333333334</v>
      </c>
      <c r="D5" s="11">
        <v>182.57500000000002</v>
      </c>
      <c r="E5" s="11">
        <v>14.913291673294239</v>
      </c>
      <c r="F5" s="11">
        <v>45.171639023235905</v>
      </c>
      <c r="G5" s="11">
        <v>117.26883541198633</v>
      </c>
      <c r="H5" s="11">
        <v>0.31930658187701816</v>
      </c>
      <c r="I5" s="11">
        <v>5.6080183406698398E-3</v>
      </c>
      <c r="J5" s="11">
        <v>107.22689128995137</v>
      </c>
      <c r="K5" s="11">
        <v>116.7434333333379</v>
      </c>
      <c r="L5" s="11">
        <v>76.387999999999622</v>
      </c>
      <c r="M5" s="11">
        <v>26.414970333333333</v>
      </c>
      <c r="N5" s="11">
        <v>3.8689194666666666</v>
      </c>
      <c r="O5" s="11">
        <v>7781.1263761007067</v>
      </c>
      <c r="P5" s="11">
        <v>56.18966666666666</v>
      </c>
      <c r="Q5" s="11">
        <v>102.27936533333333</v>
      </c>
      <c r="R5" s="11">
        <v>0.29079258111072054</v>
      </c>
    </row>
    <row r="6" spans="1:18" x14ac:dyDescent="0.25">
      <c r="A6" s="11">
        <v>151.66666666666666</v>
      </c>
      <c r="B6" s="11">
        <v>38.56666666666667</v>
      </c>
      <c r="C6" s="11">
        <v>157</v>
      </c>
      <c r="D6" s="11">
        <v>229.20000000000002</v>
      </c>
      <c r="E6" s="11">
        <v>19.317299886936166</v>
      </c>
      <c r="F6" s="11">
        <v>42.486401203148333</v>
      </c>
      <c r="G6" s="11">
        <v>119.353361045683</v>
      </c>
      <c r="H6" s="11">
        <v>0.2728633924417006</v>
      </c>
      <c r="I6" s="11">
        <v>5.2082979024249071E-3</v>
      </c>
      <c r="J6" s="11">
        <v>98.263340066800836</v>
      </c>
      <c r="K6" s="11">
        <v>75.847566666656732</v>
      </c>
      <c r="L6" s="11">
        <v>141.72459999999958</v>
      </c>
      <c r="M6" s="11">
        <v>36.909799999999997</v>
      </c>
      <c r="N6" s="11">
        <v>2.3405333333333336</v>
      </c>
      <c r="O6" s="11">
        <v>7466.1733834930264</v>
      </c>
      <c r="P6" s="11">
        <v>49.650999999999989</v>
      </c>
      <c r="Q6" s="11">
        <v>104.29011400000002</v>
      </c>
      <c r="R6" s="11">
        <v>0.34262599036183944</v>
      </c>
    </row>
    <row r="7" spans="1:18" x14ac:dyDescent="0.25">
      <c r="A7" s="11">
        <v>115.66666666666667</v>
      </c>
      <c r="B7" s="11">
        <v>23.666666666666668</v>
      </c>
      <c r="C7" s="11">
        <v>137.33333333333334</v>
      </c>
      <c r="D7" s="11">
        <v>136.77500000000001</v>
      </c>
      <c r="E7" s="11">
        <v>11.526724984524071</v>
      </c>
      <c r="F7" s="11">
        <v>30.585164148875737</v>
      </c>
      <c r="G7" s="11">
        <v>98.162284328680002</v>
      </c>
      <c r="H7" s="11">
        <v>0.19968942787787733</v>
      </c>
      <c r="I7" s="11">
        <v>3.9258214103084369E-3</v>
      </c>
      <c r="J7" s="11">
        <v>94.04869124382985</v>
      </c>
      <c r="K7" s="11">
        <v>88.686966666666933</v>
      </c>
      <c r="L7" s="11">
        <v>114.58199999999943</v>
      </c>
      <c r="M7" s="11">
        <v>47.983933333333333</v>
      </c>
      <c r="N7" s="11">
        <v>2.8062994666666667</v>
      </c>
      <c r="O7" s="11">
        <v>5996.3003761977006</v>
      </c>
      <c r="P7" s="11">
        <v>51.989666666666665</v>
      </c>
      <c r="Q7" s="11">
        <v>124.16104200000001</v>
      </c>
      <c r="R7" s="11">
        <v>0.51244720740846439</v>
      </c>
    </row>
    <row r="11" spans="1:18" x14ac:dyDescent="0.25">
      <c r="A11" s="13" t="s">
        <v>62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4" spans="1:18" x14ac:dyDescent="0.25">
      <c r="G14" s="11" t="s">
        <v>63</v>
      </c>
      <c r="H14" s="11" t="s">
        <v>64</v>
      </c>
    </row>
    <row r="15" spans="1:18" x14ac:dyDescent="0.25">
      <c r="G15" s="11">
        <v>55.663765000000005</v>
      </c>
      <c r="H15" s="11">
        <v>5.5333333333333341</v>
      </c>
    </row>
    <row r="16" spans="1:18" x14ac:dyDescent="0.25">
      <c r="G16" s="11">
        <v>37.217092333333333</v>
      </c>
      <c r="H16" s="11">
        <v>22.766666666666666</v>
      </c>
    </row>
    <row r="17" spans="7:8" x14ac:dyDescent="0.25">
      <c r="G17" s="11">
        <v>39.099116666666667</v>
      </c>
      <c r="H17" s="11">
        <v>10</v>
      </c>
    </row>
    <row r="18" spans="7:8" x14ac:dyDescent="0.25">
      <c r="G18" s="11">
        <v>18.100891000000001</v>
      </c>
      <c r="H18" s="11">
        <v>36.333333333333329</v>
      </c>
    </row>
  </sheetData>
  <mergeCells count="2">
    <mergeCell ref="A1:R2"/>
    <mergeCell ref="A11:R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Agronomy</vt:lpstr>
      <vt:lpstr>Chlorophyll</vt:lpstr>
      <vt:lpstr>Photosynthesis</vt:lpstr>
      <vt:lpstr>EL</vt:lpstr>
      <vt:lpstr>Yield</vt:lpstr>
      <vt:lpstr>Elements</vt:lpstr>
      <vt:lpstr>SOD</vt:lpstr>
      <vt:lpstr>POD</vt:lpstr>
      <vt:lpstr>CAT</vt:lpstr>
      <vt:lpstr>APX</vt:lpstr>
      <vt:lpstr>GR</vt:lpstr>
      <vt:lpstr>O2</vt:lpstr>
      <vt:lpstr>H2O2</vt:lpstr>
      <vt:lpstr>MDA</vt:lpstr>
      <vt:lpstr>PCA data for Arsenic</vt:lpstr>
      <vt:lpstr>PCA data for Zinc</vt:lpstr>
      <vt:lpstr>PCA data for Iron</vt:lpstr>
      <vt:lpstr>Mantel correlation Data</vt:lpstr>
    </vt:vector>
  </TitlesOfParts>
  <Company>P R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Ali Shah</dc:creator>
  <cp:lastModifiedBy>Muhammad Ali Shah</cp:lastModifiedBy>
  <dcterms:created xsi:type="dcterms:W3CDTF">2025-06-11T01:15:44Z</dcterms:created>
  <dcterms:modified xsi:type="dcterms:W3CDTF">2025-06-19T04:27:32Z</dcterms:modified>
</cp:coreProperties>
</file>